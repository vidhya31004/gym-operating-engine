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hya/Desktop/gym_engine/data/"/>
    </mc:Choice>
  </mc:AlternateContent>
  <xr:revisionPtr revIDLastSave="0" documentId="13_ncr:1_{3EC9EA48-0DEF-794B-B2F5-6169ABFE1221}" xr6:coauthVersionLast="47" xr6:coauthVersionMax="47" xr10:uidLastSave="{00000000-0000-0000-0000-000000000000}"/>
  <bookViews>
    <workbookView xWindow="12820" yWindow="660" windowWidth="16580" windowHeight="16980" activeTab="3" xr2:uid="{11DCB0D1-4326-4C42-B096-508EFA1C941D}"/>
  </bookViews>
  <sheets>
    <sheet name="SCENARIO_LAB" sheetId="4" r:id="rId1"/>
    <sheet name="INPUTS " sheetId="1" r:id="rId2"/>
    <sheet name="TIME_ENGINE" sheetId="2" r:id="rId3"/>
    <sheet name="DASHBOARD" sheetId="3" r:id="rId4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SCENARIO_LAB!$B$1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0" i="1" s="1"/>
  <c r="B13" i="4"/>
  <c r="B8" i="1" s="1"/>
  <c r="B12" i="4"/>
  <c r="B7" i="1" s="1"/>
  <c r="B11" i="4"/>
  <c r="B20" i="1" s="1"/>
  <c r="B10" i="4"/>
  <c r="B3" i="1" s="1"/>
  <c r="B1" i="2" s="1"/>
  <c r="B11" i="1"/>
  <c r="B9" i="1"/>
  <c r="B38" i="2"/>
  <c r="B12" i="2" s="1"/>
  <c r="G38" i="2"/>
  <c r="F38" i="2"/>
  <c r="B36" i="2"/>
  <c r="B35" i="2"/>
  <c r="B34" i="2"/>
  <c r="D29" i="2"/>
  <c r="I21" i="2"/>
  <c r="I22" i="2"/>
  <c r="I23" i="2"/>
  <c r="I25" i="2"/>
  <c r="I26" i="2"/>
  <c r="I27" i="2"/>
  <c r="I28" i="2"/>
  <c r="I20" i="2"/>
  <c r="C21" i="2"/>
  <c r="E21" i="2" s="1"/>
  <c r="C22" i="2"/>
  <c r="F22" i="2" s="1"/>
  <c r="F36" i="2" s="1"/>
  <c r="C23" i="2"/>
  <c r="F23" i="2" s="1"/>
  <c r="G23" i="2" s="1"/>
  <c r="C25" i="2"/>
  <c r="F25" i="2" s="1"/>
  <c r="G25" i="2" s="1"/>
  <c r="C26" i="2"/>
  <c r="F26" i="2" s="1"/>
  <c r="G26" i="2" s="1"/>
  <c r="C27" i="2"/>
  <c r="F27" i="2" s="1"/>
  <c r="G27" i="2" s="1"/>
  <c r="C28" i="2"/>
  <c r="F28" i="2" s="1"/>
  <c r="G28" i="2" s="1"/>
  <c r="C20" i="2"/>
  <c r="F20" i="2" s="1"/>
  <c r="G20" i="2" s="1"/>
  <c r="H21" i="2"/>
  <c r="H22" i="2"/>
  <c r="H23" i="2"/>
  <c r="H25" i="2"/>
  <c r="H26" i="2"/>
  <c r="H27" i="2"/>
  <c r="H28" i="2"/>
  <c r="H20" i="2"/>
  <c r="B5" i="1"/>
  <c r="B37" i="2" s="1"/>
  <c r="B15" i="1" l="1"/>
  <c r="B13" i="2"/>
  <c r="F9" i="3" s="1"/>
  <c r="F13" i="4" s="1"/>
  <c r="B14" i="2"/>
  <c r="B15" i="2" s="1"/>
  <c r="B12" i="3" s="1"/>
  <c r="B6" i="3"/>
  <c r="B16" i="1"/>
  <c r="B19" i="1"/>
  <c r="B10" i="2" s="1"/>
  <c r="D9" i="3" s="1"/>
  <c r="B2" i="2"/>
  <c r="D6" i="3" s="1"/>
  <c r="G6" i="3" s="1"/>
  <c r="B18" i="1"/>
  <c r="E36" i="2"/>
  <c r="F21" i="2"/>
  <c r="G21" i="2" s="1"/>
  <c r="G34" i="2"/>
  <c r="E23" i="2"/>
  <c r="G41" i="2"/>
  <c r="E22" i="2"/>
  <c r="G40" i="2"/>
  <c r="B6" i="2"/>
  <c r="G42" i="2"/>
  <c r="G37" i="2"/>
  <c r="E34" i="2"/>
  <c r="F41" i="2"/>
  <c r="E42" i="2"/>
  <c r="G39" i="2"/>
  <c r="E41" i="2"/>
  <c r="F39" i="2"/>
  <c r="E39" i="2"/>
  <c r="F37" i="2"/>
  <c r="G36" i="2"/>
  <c r="F34" i="2"/>
  <c r="F42" i="2"/>
  <c r="F40" i="2"/>
  <c r="E40" i="2"/>
  <c r="E37" i="2"/>
  <c r="E20" i="2"/>
  <c r="E27" i="2"/>
  <c r="E28" i="2"/>
  <c r="E26" i="2"/>
  <c r="E25" i="2"/>
  <c r="G22" i="2"/>
  <c r="B5" i="2"/>
  <c r="B3" i="2"/>
  <c r="H12" i="3" l="1"/>
  <c r="H9" i="3"/>
  <c r="B17" i="1"/>
  <c r="B11" i="2" s="1"/>
  <c r="E9" i="3" s="1"/>
  <c r="F11" i="4" s="1"/>
  <c r="F35" i="2"/>
  <c r="B8" i="2"/>
  <c r="H6" i="3" s="1"/>
  <c r="F12" i="4" s="1"/>
  <c r="C6" i="3"/>
  <c r="F9" i="4" s="1"/>
  <c r="B9" i="2"/>
  <c r="B9" i="3" s="1"/>
  <c r="G35" i="2"/>
  <c r="B4" i="2"/>
  <c r="E6" i="3" s="1"/>
  <c r="E35" i="2"/>
  <c r="E29" i="2"/>
  <c r="B7" i="2" s="1"/>
  <c r="F6" i="3" s="1"/>
  <c r="C9" i="3" l="1"/>
  <c r="F10" i="4"/>
</calcChain>
</file>

<file path=xl/sharedStrings.xml><?xml version="1.0" encoding="utf-8"?>
<sst xmlns="http://schemas.openxmlformats.org/spreadsheetml/2006/main" count="119" uniqueCount="108">
  <si>
    <t xml:space="preserve">STUDIO CORE DRIVERS </t>
  </si>
  <si>
    <t xml:space="preserve">Active clients </t>
  </si>
  <si>
    <t>Average Price (Monthly)</t>
  </si>
  <si>
    <t>Trainer Salary (per month)</t>
  </si>
  <si>
    <t xml:space="preserve">Monthly rent </t>
  </si>
  <si>
    <t xml:space="preserve">Monthly Marketing Spend </t>
  </si>
  <si>
    <t xml:space="preserve">Utilities / Miscellaneous </t>
  </si>
  <si>
    <t xml:space="preserve">Calculated metrices </t>
  </si>
  <si>
    <t xml:space="preserve">Estimated monthly revenue </t>
  </si>
  <si>
    <t>Total Fixed Cost</t>
  </si>
  <si>
    <t>SELLABLE HOUR MODEL</t>
  </si>
  <si>
    <t>Hour Block</t>
  </si>
  <si>
    <t>Utilization</t>
  </si>
  <si>
    <t xml:space="preserve">Revenue </t>
  </si>
  <si>
    <t xml:space="preserve">6-7 am </t>
  </si>
  <si>
    <t>7-8 am</t>
  </si>
  <si>
    <t xml:space="preserve">8-9 am </t>
  </si>
  <si>
    <t xml:space="preserve">9-10 am </t>
  </si>
  <si>
    <t>5-6 pm</t>
  </si>
  <si>
    <t>6-7 pm</t>
  </si>
  <si>
    <t>7-8 pm</t>
  </si>
  <si>
    <t>8-9 pm</t>
  </si>
  <si>
    <t>Price per Session</t>
  </si>
  <si>
    <t xml:space="preserve">TOTAL MONTHLY REVENUE </t>
  </si>
  <si>
    <t>Revenue per available hour (RevPAH)</t>
  </si>
  <si>
    <t xml:space="preserve">Status </t>
  </si>
  <si>
    <t xml:space="preserve">Trainers available </t>
  </si>
  <si>
    <t>Surge Triggered</t>
  </si>
  <si>
    <t>Highest Utilization across all hours</t>
  </si>
  <si>
    <t>Average Utilixation (%)</t>
  </si>
  <si>
    <t xml:space="preserve">Peak Frequency </t>
  </si>
  <si>
    <t>Clients Arrived</t>
  </si>
  <si>
    <t>Demand Concentration</t>
  </si>
  <si>
    <t xml:space="preserve">Overload events </t>
  </si>
  <si>
    <t xml:space="preserve">ACTIVE CLIENTS </t>
  </si>
  <si>
    <t xml:space="preserve">MONTHLY REVENUE </t>
  </si>
  <si>
    <t xml:space="preserve">REVENUE PER HOUR </t>
  </si>
  <si>
    <t xml:space="preserve">AVERAGE UTILIZATION </t>
  </si>
  <si>
    <t>OVERLOAD EVENTS (WEEK)</t>
  </si>
  <si>
    <t xml:space="preserve">Monthly Available Hours </t>
  </si>
  <si>
    <t>TOTAL</t>
  </si>
  <si>
    <t xml:space="preserve">CALCULATIONS </t>
  </si>
  <si>
    <t>Largest (clients arrived)</t>
  </si>
  <si>
    <t>Second largest (clent arrived)</t>
  </si>
  <si>
    <t xml:space="preserve">Overload </t>
  </si>
  <si>
    <t>NOTES:</t>
  </si>
  <si>
    <t>1. Utilization &gt;100% indicates overload demand.</t>
  </si>
  <si>
    <t>Estimated monthly profit</t>
  </si>
  <si>
    <t>Capacity</t>
  </si>
  <si>
    <t xml:space="preserve">Max revenue per hour </t>
  </si>
  <si>
    <t xml:space="preserve">CAPACITY UTILIZATION VALUE </t>
  </si>
  <si>
    <t xml:space="preserve">LOW </t>
  </si>
  <si>
    <t xml:space="preserve">MEDIUM </t>
  </si>
  <si>
    <t>HIGH</t>
  </si>
  <si>
    <t xml:space="preserve">Theoritical Max Monthly Revenue </t>
  </si>
  <si>
    <t xml:space="preserve">2. The revenue realization shows that the gym is operating at 58%. </t>
  </si>
  <si>
    <t>Revenue Realization (%)</t>
  </si>
  <si>
    <t>REVENUE REALIZATION</t>
  </si>
  <si>
    <t xml:space="preserve">Total Monthly Costs </t>
  </si>
  <si>
    <t xml:space="preserve">Estimated monthly Profit </t>
  </si>
  <si>
    <t xml:space="preserve">MONTHLY PROFIT </t>
  </si>
  <si>
    <t xml:space="preserve">PROFIT PER HOUR </t>
  </si>
  <si>
    <t xml:space="preserve">Revenue per client </t>
  </si>
  <si>
    <t xml:space="preserve">Break-even client </t>
  </si>
  <si>
    <t>Profit margin</t>
  </si>
  <si>
    <t>Total Monthly Session capacity</t>
  </si>
  <si>
    <t xml:space="preserve">3.The session capacit is obtained by: </t>
  </si>
  <si>
    <t>2 clients each trainer and 8 hours of schedule.</t>
  </si>
  <si>
    <t xml:space="preserve">For three trainers it's 48 session/day </t>
  </si>
  <si>
    <t xml:space="preserve">Multiplying both we get the value. </t>
  </si>
  <si>
    <t>Client Capacity</t>
  </si>
  <si>
    <t>PROFIT MARGIN</t>
  </si>
  <si>
    <t>BREAK-EVEN CLIENT COUNT</t>
  </si>
  <si>
    <t>OPERATIONAL STATUS:</t>
  </si>
  <si>
    <t>STUDIO PERFORMANCE DASHBOARD</t>
  </si>
  <si>
    <t>SCENARIO DRIVERS</t>
  </si>
  <si>
    <t xml:space="preserve">Driver </t>
  </si>
  <si>
    <t xml:space="preserve">Scenario Value </t>
  </si>
  <si>
    <t xml:space="preserve">Active Clients </t>
  </si>
  <si>
    <t>Number of trainers</t>
  </si>
  <si>
    <t>Trainer Salary</t>
  </si>
  <si>
    <t>Marketing spend</t>
  </si>
  <si>
    <t xml:space="preserve">Rent </t>
  </si>
  <si>
    <t xml:space="preserve">Utilities </t>
  </si>
  <si>
    <t xml:space="preserve">SCENARIO RESULTS </t>
  </si>
  <si>
    <t xml:space="preserve">Monthly Revenue </t>
  </si>
  <si>
    <t>Monthly Profit</t>
  </si>
  <si>
    <t>Profit Margin</t>
  </si>
  <si>
    <t>Revenue Realization</t>
  </si>
  <si>
    <t>ACTIVE SCENARIO</t>
  </si>
  <si>
    <t>Growth Case</t>
  </si>
  <si>
    <t>Base Case</t>
  </si>
  <si>
    <t>Scenario</t>
  </si>
  <si>
    <t>Clients</t>
  </si>
  <si>
    <t>Trainers</t>
  </si>
  <si>
    <t xml:space="preserve">Salary </t>
  </si>
  <si>
    <t>Marketing</t>
  </si>
  <si>
    <t xml:space="preserve">Rev/Client </t>
  </si>
  <si>
    <t xml:space="preserve">Price Increase </t>
  </si>
  <si>
    <t>Capacity pressure(%)</t>
  </si>
  <si>
    <t>Client Headroom</t>
  </si>
  <si>
    <t xml:space="preserve">Revenue Available </t>
  </si>
  <si>
    <t xml:space="preserve">REVENUE AVAILABlLE </t>
  </si>
  <si>
    <t>CAPACITY PRESSURE</t>
  </si>
  <si>
    <t xml:space="preserve">Capacity Pressure </t>
  </si>
  <si>
    <t xml:space="preserve">ACTION RECOMMENDED </t>
  </si>
  <si>
    <t>Number of Trainers</t>
  </si>
  <si>
    <t>Number of Sessions per Client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</si>
</sst>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&quot;₹&quot;#,##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26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b/>
      <sz val="15"/>
      <color theme="1"/>
      <name val="Aptos Narrow"/>
      <scheme val="minor"/>
    </font>
    <font>
      <b/>
      <sz val="15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6" xfId="0" applyFont="1" applyFill="1" applyBorder="1"/>
    <xf numFmtId="0" fontId="1" fillId="3" borderId="6" xfId="0" applyFont="1" applyFill="1" applyBorder="1"/>
    <xf numFmtId="0" fontId="3" fillId="3" borderId="7" xfId="0" applyFont="1" applyFill="1" applyBorder="1"/>
    <xf numFmtId="164" fontId="3" fillId="2" borderId="7" xfId="0" applyNumberFormat="1" applyFont="1" applyFill="1" applyBorder="1"/>
    <xf numFmtId="164" fontId="4" fillId="3" borderId="7" xfId="0" applyNumberFormat="1" applyFont="1" applyFill="1" applyBorder="1"/>
    <xf numFmtId="10" fontId="3" fillId="2" borderId="7" xfId="0" applyNumberFormat="1" applyFont="1" applyFill="1" applyBorder="1"/>
    <xf numFmtId="0" fontId="5" fillId="3" borderId="1" xfId="0" applyFont="1" applyFill="1" applyBorder="1" applyAlignment="1">
      <alignment wrapText="1"/>
    </xf>
    <xf numFmtId="0" fontId="0" fillId="4" borderId="13" xfId="0" applyFill="1" applyBorder="1"/>
    <xf numFmtId="0" fontId="0" fillId="4" borderId="14" xfId="0" applyFill="1" applyBorder="1"/>
    <xf numFmtId="0" fontId="1" fillId="3" borderId="14" xfId="0" applyFont="1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0" fontId="1" fillId="4" borderId="1" xfId="0" applyNumberFormat="1" applyFont="1" applyFill="1" applyBorder="1"/>
    <xf numFmtId="0" fontId="1" fillId="5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0" xfId="0" applyBorder="1"/>
    <xf numFmtId="0" fontId="0" fillId="3" borderId="1" xfId="0" applyFill="1" applyBorder="1"/>
    <xf numFmtId="0" fontId="6" fillId="3" borderId="1" xfId="0" applyFont="1" applyFill="1" applyBorder="1"/>
    <xf numFmtId="9" fontId="1" fillId="4" borderId="1" xfId="1" applyFont="1" applyFill="1" applyBorder="1"/>
    <xf numFmtId="0" fontId="1" fillId="4" borderId="15" xfId="0" applyFont="1" applyFill="1" applyBorder="1"/>
    <xf numFmtId="10" fontId="3" fillId="4" borderId="16" xfId="0" applyNumberFormat="1" applyFont="1" applyFill="1" applyBorder="1"/>
    <xf numFmtId="9" fontId="3" fillId="3" borderId="7" xfId="0" applyNumberFormat="1" applyFont="1" applyFill="1" applyBorder="1"/>
    <xf numFmtId="0" fontId="1" fillId="4" borderId="1" xfId="1" applyNumberFormat="1" applyFont="1" applyFill="1" applyBorder="1"/>
    <xf numFmtId="164" fontId="3" fillId="3" borderId="7" xfId="0" applyNumberFormat="1" applyFont="1" applyFill="1" applyBorder="1" applyAlignment="1">
      <alignment wrapText="1"/>
    </xf>
    <xf numFmtId="164" fontId="3" fillId="4" borderId="7" xfId="0" applyNumberFormat="1" applyFont="1" applyFill="1" applyBorder="1" applyAlignment="1">
      <alignment horizontal="center" vertical="top" wrapText="1"/>
    </xf>
    <xf numFmtId="0" fontId="3" fillId="2" borderId="7" xfId="0" applyFont="1" applyFill="1" applyBorder="1"/>
    <xf numFmtId="0" fontId="1" fillId="4" borderId="9" xfId="0" applyFont="1" applyFill="1" applyBorder="1" applyAlignment="1">
      <alignment horizontal="center" vertical="top" wrapText="1"/>
    </xf>
    <xf numFmtId="9" fontId="3" fillId="2" borderId="7" xfId="0" applyNumberFormat="1" applyFont="1" applyFill="1" applyBorder="1"/>
    <xf numFmtId="0" fontId="5" fillId="4" borderId="6" xfId="0" applyFont="1" applyFill="1" applyBorder="1"/>
    <xf numFmtId="0" fontId="8" fillId="3" borderId="6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5" fillId="3" borderId="6" xfId="0" applyFont="1" applyFill="1" applyBorder="1"/>
    <xf numFmtId="0" fontId="1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3" borderId="24" xfId="0" applyFont="1" applyFill="1" applyBorder="1"/>
    <xf numFmtId="0" fontId="1" fillId="3" borderId="25" xfId="0" applyFont="1" applyFill="1" applyBorder="1" applyAlignment="1">
      <alignment horizontal="center"/>
    </xf>
    <xf numFmtId="0" fontId="1" fillId="3" borderId="25" xfId="0" applyFont="1" applyFill="1" applyBorder="1"/>
    <xf numFmtId="0" fontId="1" fillId="3" borderId="26" xfId="0" applyFont="1" applyFill="1" applyBorder="1"/>
    <xf numFmtId="0" fontId="10" fillId="4" borderId="27" xfId="0" applyFont="1" applyFill="1" applyBorder="1"/>
    <xf numFmtId="0" fontId="0" fillId="4" borderId="28" xfId="0" applyFill="1" applyBorder="1"/>
    <xf numFmtId="0" fontId="10" fillId="3" borderId="27" xfId="0" applyFont="1" applyFill="1" applyBorder="1"/>
    <xf numFmtId="0" fontId="0" fillId="3" borderId="28" xfId="0" applyFill="1" applyBorder="1"/>
    <xf numFmtId="0" fontId="10" fillId="4" borderId="29" xfId="0" applyFont="1" applyFill="1" applyBorder="1"/>
    <xf numFmtId="0" fontId="0" fillId="2" borderId="30" xfId="0" applyFill="1" applyBorder="1" applyAlignment="1">
      <alignment horizontal="center"/>
    </xf>
    <xf numFmtId="0" fontId="0" fillId="2" borderId="30" xfId="0" applyFill="1" applyBorder="1"/>
    <xf numFmtId="0" fontId="0" fillId="2" borderId="31" xfId="0" applyFill="1" applyBorder="1"/>
    <xf numFmtId="0" fontId="0" fillId="3" borderId="27" xfId="0" applyFill="1" applyBorder="1"/>
    <xf numFmtId="9" fontId="0" fillId="3" borderId="28" xfId="0" applyNumberFormat="1" applyFill="1" applyBorder="1"/>
    <xf numFmtId="0" fontId="0" fillId="2" borderId="27" xfId="0" applyFill="1" applyBorder="1"/>
    <xf numFmtId="0" fontId="0" fillId="2" borderId="28" xfId="0" applyFill="1" applyBorder="1"/>
    <xf numFmtId="0" fontId="1" fillId="2" borderId="1" xfId="0" applyFont="1" applyFill="1" applyBorder="1"/>
    <xf numFmtId="9" fontId="0" fillId="2" borderId="28" xfId="0" applyNumberFormat="1" applyFill="1" applyBorder="1"/>
    <xf numFmtId="0" fontId="0" fillId="3" borderId="29" xfId="0" applyFill="1" applyBorder="1"/>
    <xf numFmtId="9" fontId="0" fillId="3" borderId="31" xfId="0" applyNumberFormat="1" applyFill="1" applyBorder="1"/>
    <xf numFmtId="0" fontId="1" fillId="3" borderId="27" xfId="0" applyFont="1" applyFill="1" applyBorder="1"/>
    <xf numFmtId="0" fontId="1" fillId="3" borderId="28" xfId="0" applyFont="1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0" fillId="5" borderId="31" xfId="0" applyFill="1" applyBorder="1"/>
    <xf numFmtId="0" fontId="10" fillId="3" borderId="32" xfId="0" applyFont="1" applyFill="1" applyBorder="1"/>
    <xf numFmtId="0" fontId="8" fillId="2" borderId="33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4" borderId="11" xfId="0" applyFill="1" applyBorder="1"/>
    <xf numFmtId="0" fontId="0" fillId="4" borderId="1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7" xfId="0" applyFill="1" applyBorder="1"/>
    <xf numFmtId="0" fontId="0" fillId="2" borderId="18" xfId="0" applyFill="1" applyBorder="1"/>
    <xf numFmtId="0" fontId="0" fillId="4" borderId="4" xfId="0" applyFill="1" applyBorder="1"/>
    <xf numFmtId="0" fontId="0" fillId="4" borderId="5" xfId="0" applyFill="1" applyBorder="1"/>
    <xf numFmtId="0" fontId="2" fillId="4" borderId="2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Clients Demand</a:t>
            </a:r>
            <a:r>
              <a:rPr lang="en-GB" baseline="0"/>
              <a:t> by Hour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TIME_ENGINE!$D$19</c:f>
              <c:strCache>
                <c:ptCount val="1"/>
                <c:pt idx="0">
                  <c:v>Clients Arrived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TIME_ENGINE!$A$20:$A$28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TIME_ENGINE!$D$20:$D$28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6D41-87B5-12A5AED0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868992"/>
        <c:axId val="1771877056"/>
      </c:barChart>
      <c:catAx>
        <c:axId val="17718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77056"/>
        <c:crosses val="autoZero"/>
        <c:auto val="1"/>
        <c:lblAlgn val="ctr"/>
        <c:lblOffset val="100"/>
        <c:noMultiLvlLbl val="0"/>
      </c:catAx>
      <c:valAx>
        <c:axId val="17718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Capacity</a:t>
            </a:r>
            <a:r>
              <a:rPr lang="en-GB" baseline="0"/>
              <a:t> vs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TIME_ENGINE!$C$19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TIME_ENGINE!$A$20:$A$28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TIME_ENGINE!$C$20:$C$28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3-CB41-8822-BE9A168AB38F}"/>
            </c:ext>
          </c:extLst>
        </c:ser>
        <c:ser>
          <c:idx val="1"/>
          <c:order val="1"/>
          <c:tx>
            <c:strRef>
              <c:f>TIME_ENGINE!$D$19</c:f>
              <c:strCache>
                <c:ptCount val="1"/>
                <c:pt idx="0">
                  <c:v>Clients Arrived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TIME_ENGINE!$A$20:$A$28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TIME_ENGINE!$D$20:$D$28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3-CB41-8822-BE9A168AB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108288"/>
        <c:axId val="1860654784"/>
      </c:barChart>
      <c:catAx>
        <c:axId val="18511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54784"/>
        <c:crosses val="autoZero"/>
        <c:auto val="1"/>
        <c:lblAlgn val="ctr"/>
        <c:lblOffset val="100"/>
        <c:noMultiLvlLbl val="0"/>
      </c:catAx>
      <c:valAx>
        <c:axId val="18606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0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Utilization</a:t>
            </a:r>
            <a:r>
              <a:rPr lang="en-GB" baseline="0"/>
              <a:t> </a:t>
            </a:r>
            <a:endParaRPr lang="en-GB"/>
          </a:p>
        </c:rich>
      </c:tx>
      <c:layout>
        <c:manualLayout>
          <c:xMode val="edge"/>
          <c:yMode val="edge"/>
          <c:x val="0.40631233595800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TIME_ENGINE!$E$33</c:f>
              <c:strCache>
                <c:ptCount val="1"/>
                <c:pt idx="0">
                  <c:v>LOW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TIME_ENGINE!$D$34:$D$42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TIME_ENGINE!$E$34:$E$42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3-FB44-B064-783B92F63625}"/>
            </c:ext>
          </c:extLst>
        </c:ser>
        <c:ser>
          <c:idx val="1"/>
          <c:order val="1"/>
          <c:tx>
            <c:strRef>
              <c:f>TIME_ENGINE!$F$33</c:f>
              <c:strCache>
                <c:ptCount val="1"/>
                <c:pt idx="0">
                  <c:v>MEDIUM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TIME_ENGINE!$D$34:$D$42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TIME_ENGINE!$F$34:$F$42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0.625</c:v>
                </c:pt>
                <c:pt idx="8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3-FB44-B064-783B92F63625}"/>
            </c:ext>
          </c:extLst>
        </c:ser>
        <c:ser>
          <c:idx val="2"/>
          <c:order val="2"/>
          <c:tx>
            <c:strRef>
              <c:f>TIME_ENGINE!$G$33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TIME_ENGINE!$D$34:$D$42</c:f>
              <c:strCache>
                <c:ptCount val="9"/>
                <c:pt idx="0">
                  <c:v>6-7 am </c:v>
                </c:pt>
                <c:pt idx="1">
                  <c:v>7-8 am</c:v>
                </c:pt>
                <c:pt idx="2">
                  <c:v>8-9 am </c:v>
                </c:pt>
                <c:pt idx="3">
                  <c:v>9-10 am </c:v>
                </c:pt>
                <c:pt idx="5">
                  <c:v>5-6 pm</c:v>
                </c:pt>
                <c:pt idx="6">
                  <c:v>6-7 pm</c:v>
                </c:pt>
                <c:pt idx="7">
                  <c:v>7-8 pm</c:v>
                </c:pt>
                <c:pt idx="8">
                  <c:v>8-9 pm</c:v>
                </c:pt>
              </c:strCache>
            </c:strRef>
          </c:cat>
          <c:val>
            <c:numRef>
              <c:f>TIME_ENGINE!$G$34:$G$42</c:f>
              <c:numCache>
                <c:formatCode>General</c:formatCode>
                <c:ptCount val="9"/>
                <c:pt idx="0">
                  <c:v>0.75</c:v>
                </c:pt>
                <c:pt idx="1">
                  <c:v>1.125</c:v>
                </c:pt>
                <c:pt idx="2">
                  <c:v>1.3333333333333333</c:v>
                </c:pt>
                <c:pt idx="3">
                  <c:v>1.1666666666666667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3-FB44-B064-783B92F63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347264"/>
        <c:axId val="1860233728"/>
      </c:barChart>
      <c:catAx>
        <c:axId val="19523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233728"/>
        <c:crosses val="autoZero"/>
        <c:auto val="1"/>
        <c:lblAlgn val="ctr"/>
        <c:lblOffset val="100"/>
        <c:noMultiLvlLbl val="0"/>
      </c:catAx>
      <c:valAx>
        <c:axId val="18602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1346200</xdr:colOff>
      <xdr:row>24</xdr:row>
      <xdr:rowOff>152400</xdr:rowOff>
    </xdr:from>
    <xdr:ext cx="65" cy="17209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CCBA0C-FE28-6D34-B6BF-0FCD51EA9FCC}"/>
            </a:ext>
          </a:extLst>
        </xdr:cNvPr>
        <xdr:cNvSpPr txBox="1"/>
      </xdr:nvSpPr>
      <xdr:spPr>
        <a:xfrm>
          <a:off x="8674100" y="34290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776169</xdr:colOff>
      <xdr:row>34</xdr:row>
      <xdr:rowOff>180010</xdr:rowOff>
    </xdr:from>
    <xdr:to>
      <xdr:col>4</xdr:col>
      <xdr:colOff>1066798</xdr:colOff>
      <xdr:row>49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2DCB4-985A-2741-9FD9-1C1C1EB0D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769913</xdr:colOff>
      <xdr:row>16</xdr:row>
      <xdr:rowOff>121110</xdr:rowOff>
    </xdr:from>
    <xdr:to>
      <xdr:col>7</xdr:col>
      <xdr:colOff>2150532</xdr:colOff>
      <xdr:row>33</xdr:row>
      <xdr:rowOff>65893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1B261-CF09-7748-A05C-C06834287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1388534</xdr:colOff>
      <xdr:row>34</xdr:row>
      <xdr:rowOff>132337</xdr:rowOff>
    </xdr:from>
    <xdr:to>
      <xdr:col>7</xdr:col>
      <xdr:colOff>2082249</xdr:colOff>
      <xdr:row>49</xdr:row>
      <xdr:rowOff>67732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668A37-7396-E14A-8BBD-85A7F9CC6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99DF-9902-BE4B-A727-626B431503EC}">
  <dimension ref="A1:F20"/>
  <sheetViews>
    <sheetView zoomScale="125" workbookViewId="0">
      <selection activeCell="B1" sqref="B1"/>
    </sheetView>
  </sheetViews>
  <sheetFormatPr baseColWidth="10" defaultRowHeight="16" x14ac:dyDescent="0.2"/>
  <cols>
    <col min="1" max="1" width="20.83203125" customWidth="1"/>
    <col min="2" max="2" width="20" customWidth="1"/>
    <col min="5" max="5" width="20.83203125" customWidth="1"/>
    <col min="6" max="6" width="21.33203125" customWidth="1"/>
  </cols>
  <sheetData>
    <row r="1" spans="1:6" ht="21" thickBot="1" x14ac:dyDescent="0.3">
      <c r="A1" s="68" t="s">
        <v>89</v>
      </c>
      <c r="B1" s="69" t="s">
        <v>91</v>
      </c>
      <c r="C1" s="37"/>
    </row>
    <row r="2" spans="1:6" ht="21" thickBot="1" x14ac:dyDescent="0.3">
      <c r="A2" s="36"/>
      <c r="B2" s="34"/>
      <c r="C2" s="34"/>
    </row>
    <row r="3" spans="1:6" ht="20" x14ac:dyDescent="0.25">
      <c r="A3" s="42" t="s">
        <v>92</v>
      </c>
      <c r="B3" s="43" t="s">
        <v>93</v>
      </c>
      <c r="C3" s="43" t="s">
        <v>97</v>
      </c>
      <c r="D3" s="44" t="s">
        <v>94</v>
      </c>
      <c r="E3" s="44" t="s">
        <v>95</v>
      </c>
      <c r="F3" s="45" t="s">
        <v>96</v>
      </c>
    </row>
    <row r="4" spans="1:6" ht="20" x14ac:dyDescent="0.25">
      <c r="A4" s="46" t="s">
        <v>91</v>
      </c>
      <c r="B4" s="40">
        <v>60</v>
      </c>
      <c r="C4" s="40">
        <v>12000</v>
      </c>
      <c r="D4" s="18">
        <v>3</v>
      </c>
      <c r="E4" s="18">
        <v>35000</v>
      </c>
      <c r="F4" s="47">
        <v>20000</v>
      </c>
    </row>
    <row r="5" spans="1:6" ht="20" x14ac:dyDescent="0.25">
      <c r="A5" s="48" t="s">
        <v>98</v>
      </c>
      <c r="B5" s="41">
        <v>60</v>
      </c>
      <c r="C5" s="41">
        <v>13500</v>
      </c>
      <c r="D5" s="20">
        <v>3</v>
      </c>
      <c r="E5" s="20">
        <v>35000</v>
      </c>
      <c r="F5" s="49">
        <v>20000</v>
      </c>
    </row>
    <row r="6" spans="1:6" ht="21" thickBot="1" x14ac:dyDescent="0.3">
      <c r="A6" s="50" t="s">
        <v>90</v>
      </c>
      <c r="B6" s="51">
        <v>75</v>
      </c>
      <c r="C6" s="51">
        <v>12000</v>
      </c>
      <c r="D6" s="52">
        <v>4</v>
      </c>
      <c r="E6" s="52">
        <v>35000</v>
      </c>
      <c r="F6" s="53">
        <v>25000</v>
      </c>
    </row>
    <row r="7" spans="1:6" ht="17" thickBot="1" x14ac:dyDescent="0.25"/>
    <row r="8" spans="1:6" ht="19" x14ac:dyDescent="0.25">
      <c r="A8" s="86" t="s">
        <v>75</v>
      </c>
      <c r="B8" s="87"/>
      <c r="E8" s="86" t="s">
        <v>84</v>
      </c>
      <c r="F8" s="87"/>
    </row>
    <row r="9" spans="1:6" x14ac:dyDescent="0.2">
      <c r="A9" s="62" t="s">
        <v>76</v>
      </c>
      <c r="B9" s="63" t="s">
        <v>77</v>
      </c>
      <c r="E9" s="54" t="s">
        <v>85</v>
      </c>
      <c r="F9" s="49">
        <f>DASHBOARD!C6</f>
        <v>720000</v>
      </c>
    </row>
    <row r="10" spans="1:6" x14ac:dyDescent="0.2">
      <c r="A10" s="64" t="s">
        <v>78</v>
      </c>
      <c r="B10" s="65">
        <f>_xlfn.XLOOKUP(B1, A4:A6, B4:B6)</f>
        <v>60</v>
      </c>
      <c r="E10" s="56" t="s">
        <v>86</v>
      </c>
      <c r="F10" s="57">
        <f>DASHBOARD!B9</f>
        <v>540000</v>
      </c>
    </row>
    <row r="11" spans="1:6" x14ac:dyDescent="0.2">
      <c r="A11" s="56" t="s">
        <v>62</v>
      </c>
      <c r="B11" s="57">
        <f>_xlfn.XLOOKUP(B1, A4:A6, C4:C6)</f>
        <v>12000</v>
      </c>
      <c r="E11" s="54" t="s">
        <v>87</v>
      </c>
      <c r="F11" s="55">
        <f>DASHBOARD!E9</f>
        <v>0.75</v>
      </c>
    </row>
    <row r="12" spans="1:6" x14ac:dyDescent="0.2">
      <c r="A12" s="64" t="s">
        <v>79</v>
      </c>
      <c r="B12" s="65">
        <f>_xlfn.XLOOKUP(B1,A4:A6, D4:D6)</f>
        <v>3</v>
      </c>
      <c r="E12" s="56" t="s">
        <v>88</v>
      </c>
      <c r="F12" s="59">
        <f>DASHBOARD!H6</f>
        <v>0.57692307692307687</v>
      </c>
    </row>
    <row r="13" spans="1:6" ht="17" thickBot="1" x14ac:dyDescent="0.25">
      <c r="A13" s="56" t="s">
        <v>80</v>
      </c>
      <c r="B13" s="57">
        <f>_xlfn.XLOOKUP(B1,A4:A6, E4:E6)</f>
        <v>35000</v>
      </c>
      <c r="E13" s="60" t="s">
        <v>104</v>
      </c>
      <c r="F13" s="61">
        <f>DASHBOARD!F9</f>
        <v>0.76923076923076927</v>
      </c>
    </row>
    <row r="14" spans="1:6" x14ac:dyDescent="0.2">
      <c r="A14" s="64" t="s">
        <v>81</v>
      </c>
      <c r="B14" s="65">
        <f>_xlfn.XLOOKUP(B1,A4:A6, F4:F6)</f>
        <v>20000</v>
      </c>
    </row>
    <row r="15" spans="1:6" x14ac:dyDescent="0.2">
      <c r="A15" s="56" t="s">
        <v>82</v>
      </c>
      <c r="B15" s="57">
        <v>100000</v>
      </c>
    </row>
    <row r="16" spans="1:6" ht="17" thickBot="1" x14ac:dyDescent="0.25">
      <c r="A16" s="66" t="s">
        <v>83</v>
      </c>
      <c r="B16" s="67">
        <v>25000</v>
      </c>
    </row>
    <row r="20" spans="1:1" ht="16" customHeight="1" x14ac:dyDescent="0.25">
      <c r="A20" s="35"/>
    </row>
  </sheetData>
  <mergeCells count="2">
    <mergeCell ref="A8:B8"/>
    <mergeCell ref="E8:F8"/>
  </mergeCells>
  <dataValidations count="1">
    <dataValidation type="list" allowBlank="1" showInputMessage="1" showErrorMessage="1" sqref="B1" xr:uid="{E4EAF1D7-DDF3-AF44-9581-A072A27F1437}">
      <formula1>A4:A6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7FB1-272C-CD4D-8466-44ADC60FE687}">
  <dimension ref="A1:B20"/>
  <sheetViews>
    <sheetView zoomScale="125" workbookViewId="0">
      <selection activeCell="E7" sqref="E7"/>
    </sheetView>
  </sheetViews>
  <sheetFormatPr baseColWidth="10" defaultRowHeight="16" x14ac:dyDescent="0.2"/>
  <cols>
    <col min="1" max="1" width="32" customWidth="1"/>
    <col min="2" max="2" width="14.1640625" customWidth="1"/>
  </cols>
  <sheetData>
    <row r="1" spans="1:2" x14ac:dyDescent="0.2">
      <c r="A1" s="88" t="s">
        <v>0</v>
      </c>
      <c r="B1" s="89"/>
    </row>
    <row r="2" spans="1:2" ht="17" thickBot="1" x14ac:dyDescent="0.25">
      <c r="A2" s="90"/>
      <c r="B2" s="91"/>
    </row>
    <row r="3" spans="1:2" x14ac:dyDescent="0.2">
      <c r="A3" s="70" t="s">
        <v>1</v>
      </c>
      <c r="B3" s="71">
        <f>SCENARIO_LAB!B10</f>
        <v>60</v>
      </c>
    </row>
    <row r="4" spans="1:2" x14ac:dyDescent="0.2">
      <c r="A4" s="72" t="s">
        <v>2</v>
      </c>
      <c r="B4" s="73">
        <v>12000</v>
      </c>
    </row>
    <row r="5" spans="1:2" x14ac:dyDescent="0.2">
      <c r="A5" s="70" t="s">
        <v>22</v>
      </c>
      <c r="B5" s="71">
        <f>B4/B6</f>
        <v>750</v>
      </c>
    </row>
    <row r="6" spans="1:2" x14ac:dyDescent="0.2">
      <c r="A6" s="72" t="s">
        <v>107</v>
      </c>
      <c r="B6" s="73">
        <v>16</v>
      </c>
    </row>
    <row r="7" spans="1:2" x14ac:dyDescent="0.2">
      <c r="A7" s="70" t="s">
        <v>106</v>
      </c>
      <c r="B7" s="71">
        <f>SCENARIO_LAB!B12</f>
        <v>3</v>
      </c>
    </row>
    <row r="8" spans="1:2" x14ac:dyDescent="0.2">
      <c r="A8" s="72" t="s">
        <v>3</v>
      </c>
      <c r="B8" s="73">
        <f>SCENARIO_LAB!B13</f>
        <v>35000</v>
      </c>
    </row>
    <row r="9" spans="1:2" x14ac:dyDescent="0.2">
      <c r="A9" s="70" t="s">
        <v>4</v>
      </c>
      <c r="B9" s="71">
        <f>SCENARIO_LAB!B15</f>
        <v>100000</v>
      </c>
    </row>
    <row r="10" spans="1:2" x14ac:dyDescent="0.2">
      <c r="A10" s="72" t="s">
        <v>5</v>
      </c>
      <c r="B10" s="73">
        <f>SCENARIO_LAB!B14</f>
        <v>20000</v>
      </c>
    </row>
    <row r="11" spans="1:2" ht="17" thickBot="1" x14ac:dyDescent="0.25">
      <c r="A11" s="74" t="s">
        <v>6</v>
      </c>
      <c r="B11" s="75">
        <f>SCENARIO_LAB!B16</f>
        <v>25000</v>
      </c>
    </row>
    <row r="12" spans="1:2" ht="17" thickBot="1" x14ac:dyDescent="0.25"/>
    <row r="13" spans="1:2" x14ac:dyDescent="0.2">
      <c r="A13" s="92" t="s">
        <v>7</v>
      </c>
      <c r="B13" s="93"/>
    </row>
    <row r="14" spans="1:2" x14ac:dyDescent="0.2">
      <c r="A14" s="94"/>
      <c r="B14" s="95"/>
    </row>
    <row r="15" spans="1:2" x14ac:dyDescent="0.2">
      <c r="A15" s="76" t="s">
        <v>8</v>
      </c>
      <c r="B15" s="77">
        <f>B4*B3</f>
        <v>720000</v>
      </c>
    </row>
    <row r="16" spans="1:2" x14ac:dyDescent="0.2">
      <c r="A16" s="72" t="s">
        <v>9</v>
      </c>
      <c r="B16" s="73">
        <f>B8+B9+B10+B11</f>
        <v>180000</v>
      </c>
    </row>
    <row r="17" spans="1:2" x14ac:dyDescent="0.2">
      <c r="A17" s="70" t="s">
        <v>47</v>
      </c>
      <c r="B17" s="71">
        <f>B15-B16</f>
        <v>540000</v>
      </c>
    </row>
    <row r="18" spans="1:2" x14ac:dyDescent="0.2">
      <c r="A18" s="72" t="s">
        <v>54</v>
      </c>
      <c r="B18" s="73">
        <f>TIME_ENGINE!B37*TIME_ENGINE!B36</f>
        <v>1248000</v>
      </c>
    </row>
    <row r="19" spans="1:2" x14ac:dyDescent="0.2">
      <c r="A19" s="70" t="s">
        <v>58</v>
      </c>
      <c r="B19" s="71">
        <f>SUM(B9:B11)+B8</f>
        <v>180000</v>
      </c>
    </row>
    <row r="20" spans="1:2" ht="17" thickBot="1" x14ac:dyDescent="0.25">
      <c r="A20" s="78" t="s">
        <v>62</v>
      </c>
      <c r="B20" s="79">
        <f>SCENARIO_LAB!B11</f>
        <v>12000</v>
      </c>
    </row>
  </sheetData>
  <sheetProtection sheet="1" objects="1" scenarios="1"/>
  <mergeCells count="2">
    <mergeCell ref="A1:B2"/>
    <mergeCell ref="A13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7675-755E-104F-A687-707974E368C1}">
  <dimension ref="A1:I55"/>
  <sheetViews>
    <sheetView topLeftCell="A12" zoomScale="112" workbookViewId="0">
      <selection activeCell="B26" sqref="B26"/>
    </sheetView>
  </sheetViews>
  <sheetFormatPr baseColWidth="10" defaultRowHeight="16" x14ac:dyDescent="0.2"/>
  <cols>
    <col min="1" max="1" width="30.83203125" customWidth="1"/>
    <col min="2" max="3" width="21.83203125" customWidth="1"/>
    <col min="4" max="5" width="21.6640625" customWidth="1"/>
    <col min="6" max="7" width="19.6640625" customWidth="1"/>
    <col min="8" max="8" width="20" customWidth="1"/>
    <col min="9" max="9" width="21.6640625" customWidth="1"/>
  </cols>
  <sheetData>
    <row r="1" spans="1:3" x14ac:dyDescent="0.2">
      <c r="A1" s="16" t="s">
        <v>23</v>
      </c>
      <c r="B1" s="13">
        <f>'INPUTS '!B3*'INPUTS '!B4</f>
        <v>720000</v>
      </c>
    </row>
    <row r="2" spans="1:3" x14ac:dyDescent="0.2">
      <c r="A2" s="16" t="s">
        <v>24</v>
      </c>
      <c r="B2" s="14">
        <f>B1/B36</f>
        <v>3461.5384615384614</v>
      </c>
    </row>
    <row r="3" spans="1:3" x14ac:dyDescent="0.2">
      <c r="A3" s="16" t="s">
        <v>28</v>
      </c>
      <c r="B3" s="15">
        <f>MAX(F20:F28)</f>
        <v>1.3333333333333333</v>
      </c>
      <c r="C3" s="19"/>
    </row>
    <row r="4" spans="1:3" x14ac:dyDescent="0.2">
      <c r="A4" s="16" t="s">
        <v>29</v>
      </c>
      <c r="B4" s="15">
        <f>AVERAGE(F20:F28)</f>
        <v>0.79166666666666663</v>
      </c>
    </row>
    <row r="5" spans="1:3" x14ac:dyDescent="0.2">
      <c r="A5" s="16" t="s">
        <v>30</v>
      </c>
      <c r="B5" s="13">
        <f>COUNTIF(F20:F28,"&gt;0.8")</f>
        <v>3</v>
      </c>
    </row>
    <row r="6" spans="1:3" x14ac:dyDescent="0.2">
      <c r="A6" s="16" t="s">
        <v>32</v>
      </c>
      <c r="B6" s="15">
        <f>(B34+B35)/D29</f>
        <v>0.42499999999999999</v>
      </c>
    </row>
    <row r="7" spans="1:3" x14ac:dyDescent="0.2">
      <c r="A7" s="16" t="s">
        <v>33</v>
      </c>
      <c r="B7" s="13">
        <f>E29</f>
        <v>3</v>
      </c>
    </row>
    <row r="8" spans="1:3" x14ac:dyDescent="0.2">
      <c r="A8" s="16" t="s">
        <v>56</v>
      </c>
      <c r="B8" s="22">
        <f>'INPUTS '!B15/'INPUTS '!B18</f>
        <v>0.57692307692307687</v>
      </c>
    </row>
    <row r="9" spans="1:3" x14ac:dyDescent="0.2">
      <c r="A9" s="16" t="s">
        <v>59</v>
      </c>
      <c r="B9" s="26">
        <f>B1-'INPUTS '!B19</f>
        <v>540000</v>
      </c>
    </row>
    <row r="10" spans="1:3" x14ac:dyDescent="0.2">
      <c r="A10" s="16" t="s">
        <v>63</v>
      </c>
      <c r="B10" s="26">
        <f>ROUNDUP('INPUTS '!B19/'INPUTS '!B4,0)</f>
        <v>15</v>
      </c>
    </row>
    <row r="11" spans="1:3" x14ac:dyDescent="0.2">
      <c r="A11" s="16" t="s">
        <v>64</v>
      </c>
      <c r="B11" s="22">
        <f>'INPUTS '!B17/'INPUTS '!B15</f>
        <v>0.75</v>
      </c>
    </row>
    <row r="12" spans="1:3" x14ac:dyDescent="0.2">
      <c r="A12" s="16" t="s">
        <v>70</v>
      </c>
      <c r="B12" s="26">
        <f>B38/16</f>
        <v>78</v>
      </c>
    </row>
    <row r="13" spans="1:3" x14ac:dyDescent="0.2">
      <c r="A13" s="16" t="s">
        <v>99</v>
      </c>
      <c r="B13" s="22">
        <f>'INPUTS '!B3/TIME_ENGINE!B12</f>
        <v>0.76923076923076927</v>
      </c>
    </row>
    <row r="14" spans="1:3" x14ac:dyDescent="0.2">
      <c r="A14" s="16" t="s">
        <v>100</v>
      </c>
      <c r="B14" s="26">
        <f>B12-'INPUTS '!B3</f>
        <v>18</v>
      </c>
    </row>
    <row r="15" spans="1:3" x14ac:dyDescent="0.2">
      <c r="A15" s="16" t="s">
        <v>101</v>
      </c>
      <c r="B15" s="26">
        <f>B14*'INPUTS '!B20</f>
        <v>216000</v>
      </c>
    </row>
    <row r="16" spans="1:3" ht="17" thickBot="1" x14ac:dyDescent="0.25"/>
    <row r="17" spans="1:9" x14ac:dyDescent="0.2">
      <c r="A17" s="98" t="s">
        <v>10</v>
      </c>
      <c r="B17" s="99"/>
      <c r="C17" s="99"/>
      <c r="D17" s="99"/>
      <c r="E17" s="99"/>
      <c r="F17" s="99"/>
      <c r="G17" s="99"/>
      <c r="H17" s="99"/>
      <c r="I17" s="100"/>
    </row>
    <row r="18" spans="1:9" x14ac:dyDescent="0.2">
      <c r="A18" s="101"/>
      <c r="B18" s="102"/>
      <c r="C18" s="102"/>
      <c r="D18" s="102"/>
      <c r="E18" s="102"/>
      <c r="F18" s="102"/>
      <c r="G18" s="102"/>
      <c r="H18" s="102"/>
      <c r="I18" s="103"/>
    </row>
    <row r="19" spans="1:9" s="1" customFormat="1" ht="17" thickBot="1" x14ac:dyDescent="0.25">
      <c r="A19" s="12" t="s">
        <v>11</v>
      </c>
      <c r="B19" s="12" t="s">
        <v>26</v>
      </c>
      <c r="C19" s="12" t="s">
        <v>48</v>
      </c>
      <c r="D19" s="12" t="s">
        <v>31</v>
      </c>
      <c r="E19" s="12" t="s">
        <v>44</v>
      </c>
      <c r="F19" s="12" t="s">
        <v>12</v>
      </c>
      <c r="G19" s="12" t="s">
        <v>25</v>
      </c>
      <c r="H19" s="12" t="s">
        <v>13</v>
      </c>
      <c r="I19" s="12" t="s">
        <v>27</v>
      </c>
    </row>
    <row r="20" spans="1:9" x14ac:dyDescent="0.2">
      <c r="A20" s="10" t="s">
        <v>14</v>
      </c>
      <c r="B20" s="10">
        <v>2</v>
      </c>
      <c r="C20" s="10">
        <f>B20*2</f>
        <v>4</v>
      </c>
      <c r="D20" s="10">
        <v>3</v>
      </c>
      <c r="E20" s="10">
        <f>IF(D20&gt;C20,1,0)</f>
        <v>0</v>
      </c>
      <c r="F20" s="10">
        <f>D20/C20</f>
        <v>0.75</v>
      </c>
      <c r="G20" s="10" t="str">
        <f>IF(F20&gt;0.75,"Peak", IF(F20&gt;0.4, "Healthy", "Underused"))</f>
        <v>Healthy</v>
      </c>
      <c r="H20" s="10">
        <f>D20*TIME_ENGINE!B21</f>
        <v>12</v>
      </c>
      <c r="I20" s="10" t="str">
        <f>IF(B20&gt;3, "YES", "NO")</f>
        <v>NO</v>
      </c>
    </row>
    <row r="21" spans="1:9" x14ac:dyDescent="0.2">
      <c r="A21" s="10" t="s">
        <v>15</v>
      </c>
      <c r="B21" s="10">
        <v>4</v>
      </c>
      <c r="C21" s="10">
        <f t="shared" ref="C21:C28" si="0">B21*2</f>
        <v>8</v>
      </c>
      <c r="D21" s="10">
        <v>9</v>
      </c>
      <c r="E21" s="10">
        <f t="shared" ref="E21:E28" si="1">IF(D21&gt;C21,1,0)</f>
        <v>1</v>
      </c>
      <c r="F21" s="10">
        <f t="shared" ref="F21:F28" si="2">D21/C21</f>
        <v>1.125</v>
      </c>
      <c r="G21" s="10" t="str">
        <f t="shared" ref="G21:G28" si="3">IF(F21&gt;0.75,"Peak", IF(F21&gt;0.4, "Healthy", "Underused"))</f>
        <v>Peak</v>
      </c>
      <c r="H21" s="10">
        <f>D21*TIME_ENGINE!B22</f>
        <v>27</v>
      </c>
      <c r="I21" s="10" t="str">
        <f t="shared" ref="I21:I28" si="4">IF(B21&gt;3, "YES", "NO")</f>
        <v>YES</v>
      </c>
    </row>
    <row r="22" spans="1:9" x14ac:dyDescent="0.2">
      <c r="A22" s="10" t="s">
        <v>16</v>
      </c>
      <c r="B22" s="10">
        <v>3</v>
      </c>
      <c r="C22" s="10">
        <f t="shared" si="0"/>
        <v>6</v>
      </c>
      <c r="D22" s="10">
        <v>8</v>
      </c>
      <c r="E22" s="10">
        <f t="shared" si="1"/>
        <v>1</v>
      </c>
      <c r="F22" s="10">
        <f t="shared" si="2"/>
        <v>1.3333333333333333</v>
      </c>
      <c r="G22" s="10" t="str">
        <f t="shared" si="3"/>
        <v>Peak</v>
      </c>
      <c r="H22" s="10">
        <f>D22*TIME_ENGINE!B23</f>
        <v>24</v>
      </c>
      <c r="I22" s="10" t="str">
        <f t="shared" si="4"/>
        <v>NO</v>
      </c>
    </row>
    <row r="23" spans="1:9" x14ac:dyDescent="0.2">
      <c r="A23" s="10" t="s">
        <v>17</v>
      </c>
      <c r="B23" s="10">
        <v>3</v>
      </c>
      <c r="C23" s="10">
        <f t="shared" si="0"/>
        <v>6</v>
      </c>
      <c r="D23" s="10">
        <v>7</v>
      </c>
      <c r="E23" s="10">
        <f t="shared" si="1"/>
        <v>1</v>
      </c>
      <c r="F23" s="10">
        <f t="shared" si="2"/>
        <v>1.1666666666666667</v>
      </c>
      <c r="G23" s="10" t="str">
        <f t="shared" si="3"/>
        <v>Peak</v>
      </c>
      <c r="H23" s="10">
        <f>D23*TIME_ENGINE!B24</f>
        <v>0</v>
      </c>
      <c r="I23" s="10" t="str">
        <f t="shared" si="4"/>
        <v>NO</v>
      </c>
    </row>
    <row r="24" spans="1:9" x14ac:dyDescent="0.2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">
      <c r="A25" s="10" t="s">
        <v>18</v>
      </c>
      <c r="B25" s="10">
        <v>3</v>
      </c>
      <c r="C25" s="10">
        <f t="shared" si="0"/>
        <v>6</v>
      </c>
      <c r="D25" s="10">
        <v>2</v>
      </c>
      <c r="E25" s="10">
        <f t="shared" si="1"/>
        <v>0</v>
      </c>
      <c r="F25" s="10">
        <f t="shared" si="2"/>
        <v>0.33333333333333331</v>
      </c>
      <c r="G25" s="10" t="str">
        <f t="shared" si="3"/>
        <v>Underused</v>
      </c>
      <c r="H25" s="10">
        <f>D25*TIME_ENGINE!B26</f>
        <v>6</v>
      </c>
      <c r="I25" s="10" t="str">
        <f t="shared" si="4"/>
        <v>NO</v>
      </c>
    </row>
    <row r="26" spans="1:9" x14ac:dyDescent="0.2">
      <c r="A26" s="10" t="s">
        <v>19</v>
      </c>
      <c r="B26" s="10">
        <v>3</v>
      </c>
      <c r="C26" s="10">
        <f t="shared" si="0"/>
        <v>6</v>
      </c>
      <c r="D26" s="10">
        <v>2</v>
      </c>
      <c r="E26" s="10">
        <f t="shared" si="1"/>
        <v>0</v>
      </c>
      <c r="F26" s="10">
        <f t="shared" si="2"/>
        <v>0.33333333333333331</v>
      </c>
      <c r="G26" s="10" t="str">
        <f t="shared" si="3"/>
        <v>Underused</v>
      </c>
      <c r="H26" s="10">
        <f>D26*TIME_ENGINE!B27</f>
        <v>8</v>
      </c>
      <c r="I26" s="10" t="str">
        <f t="shared" si="4"/>
        <v>NO</v>
      </c>
    </row>
    <row r="27" spans="1:9" x14ac:dyDescent="0.2">
      <c r="A27" s="10" t="s">
        <v>20</v>
      </c>
      <c r="B27" s="10">
        <v>4</v>
      </c>
      <c r="C27" s="10">
        <f t="shared" si="0"/>
        <v>8</v>
      </c>
      <c r="D27" s="10">
        <v>5</v>
      </c>
      <c r="E27" s="10">
        <f t="shared" si="1"/>
        <v>0</v>
      </c>
      <c r="F27" s="10">
        <f t="shared" si="2"/>
        <v>0.625</v>
      </c>
      <c r="G27" s="10" t="str">
        <f t="shared" si="3"/>
        <v>Healthy</v>
      </c>
      <c r="H27" s="10">
        <f>D27*TIME_ENGINE!B28</f>
        <v>15</v>
      </c>
      <c r="I27" s="10" t="str">
        <f t="shared" si="4"/>
        <v>YES</v>
      </c>
    </row>
    <row r="28" spans="1:9" ht="17" thickBot="1" x14ac:dyDescent="0.25">
      <c r="A28" s="11" t="s">
        <v>21</v>
      </c>
      <c r="B28" s="11">
        <v>3</v>
      </c>
      <c r="C28" s="11">
        <f t="shared" si="0"/>
        <v>6</v>
      </c>
      <c r="D28" s="11">
        <v>4</v>
      </c>
      <c r="E28" s="11">
        <f t="shared" si="1"/>
        <v>0</v>
      </c>
      <c r="F28" s="11">
        <f t="shared" si="2"/>
        <v>0.66666666666666663</v>
      </c>
      <c r="G28" s="11" t="str">
        <f t="shared" si="3"/>
        <v>Healthy</v>
      </c>
      <c r="H28" s="11">
        <f>D28*TIME_ENGINE!B29</f>
        <v>0</v>
      </c>
      <c r="I28" s="11" t="str">
        <f t="shared" si="4"/>
        <v>NO</v>
      </c>
    </row>
    <row r="29" spans="1:9" s="1" customFormat="1" x14ac:dyDescent="0.2">
      <c r="A29" s="1" t="s">
        <v>40</v>
      </c>
      <c r="D29" s="1">
        <f>SUM(D20:D28)</f>
        <v>40</v>
      </c>
      <c r="E29" s="1">
        <f>SUM(E20:E28)</f>
        <v>3</v>
      </c>
    </row>
    <row r="33" spans="1:7" x14ac:dyDescent="0.2">
      <c r="A33" s="96" t="s">
        <v>41</v>
      </c>
      <c r="B33" s="97"/>
      <c r="D33" s="21" t="s">
        <v>11</v>
      </c>
      <c r="E33" s="20" t="s">
        <v>51</v>
      </c>
      <c r="F33" s="20" t="s">
        <v>52</v>
      </c>
      <c r="G33" s="20" t="s">
        <v>53</v>
      </c>
    </row>
    <row r="34" spans="1:7" x14ac:dyDescent="0.2">
      <c r="A34" s="17" t="s">
        <v>42</v>
      </c>
      <c r="B34" s="17">
        <f>LARGE(D20:D28,1)</f>
        <v>9</v>
      </c>
      <c r="D34" s="17" t="s">
        <v>14</v>
      </c>
      <c r="E34" s="17" t="e">
        <f>IF(F20&lt;0.5,F20,NA())</f>
        <v>#N/A</v>
      </c>
      <c r="F34" s="17" t="e">
        <f>IF(AND(F20&gt;0.5,F20&lt;0.75),F20,NA())</f>
        <v>#N/A</v>
      </c>
      <c r="G34" s="17">
        <f>IF(F20&gt;=0.75,F20,NA())</f>
        <v>0.75</v>
      </c>
    </row>
    <row r="35" spans="1:7" x14ac:dyDescent="0.2">
      <c r="A35" s="18" t="s">
        <v>43</v>
      </c>
      <c r="B35" s="18">
        <f>LARGE(D20:D28,2)</f>
        <v>8</v>
      </c>
      <c r="D35" s="18" t="s">
        <v>15</v>
      </c>
      <c r="E35" s="17" t="e">
        <f t="shared" ref="E35:E37" si="5">IF(F21&lt;0.5,F21,NA())</f>
        <v>#N/A</v>
      </c>
      <c r="F35" s="17" t="e">
        <f t="shared" ref="F35:F37" si="6">IF(AND(F21&gt;0.5,F21&lt;0.75),F21,NA())</f>
        <v>#N/A</v>
      </c>
      <c r="G35" s="17">
        <f t="shared" ref="G35:G37" si="7">IF(F21&gt;=0.75,F21,NA())</f>
        <v>1.125</v>
      </c>
    </row>
    <row r="36" spans="1:7" x14ac:dyDescent="0.2">
      <c r="A36" s="17" t="s">
        <v>39</v>
      </c>
      <c r="B36" s="17">
        <f>8*26</f>
        <v>208</v>
      </c>
      <c r="D36" s="17" t="s">
        <v>16</v>
      </c>
      <c r="E36" s="17" t="e">
        <f t="shared" si="5"/>
        <v>#N/A</v>
      </c>
      <c r="F36" s="17" t="e">
        <f t="shared" si="6"/>
        <v>#N/A</v>
      </c>
      <c r="G36" s="17">
        <f t="shared" si="7"/>
        <v>1.3333333333333333</v>
      </c>
    </row>
    <row r="37" spans="1:7" x14ac:dyDescent="0.2">
      <c r="A37" s="18" t="s">
        <v>49</v>
      </c>
      <c r="B37" s="18">
        <f>8*'INPUTS '!B5</f>
        <v>6000</v>
      </c>
      <c r="D37" s="18" t="s">
        <v>17</v>
      </c>
      <c r="E37" s="17" t="e">
        <f t="shared" si="5"/>
        <v>#N/A</v>
      </c>
      <c r="F37" s="17" t="e">
        <f t="shared" si="6"/>
        <v>#N/A</v>
      </c>
      <c r="G37" s="17">
        <f t="shared" si="7"/>
        <v>1.1666666666666667</v>
      </c>
    </row>
    <row r="38" spans="1:7" x14ac:dyDescent="0.2">
      <c r="A38" s="17" t="s">
        <v>65</v>
      </c>
      <c r="B38" s="17">
        <f>48*26</f>
        <v>1248</v>
      </c>
      <c r="D38" s="17"/>
      <c r="E38" s="17"/>
      <c r="F38" s="17" t="e">
        <f>IF(AND(F24&gt;0.5,F24&lt;0.75),F24,NA())</f>
        <v>#N/A</v>
      </c>
      <c r="G38" s="17" t="e">
        <f>IF(F24&gt;=0.75,F24,NA())</f>
        <v>#N/A</v>
      </c>
    </row>
    <row r="39" spans="1:7" x14ac:dyDescent="0.2">
      <c r="D39" s="18" t="s">
        <v>18</v>
      </c>
      <c r="E39" s="17">
        <f>IF(F25&lt;0.5,F25,NA())</f>
        <v>0.33333333333333331</v>
      </c>
      <c r="F39" s="17" t="e">
        <f>IF(AND(F25&gt;0.5,F25&lt;0.75),F25,NA())</f>
        <v>#N/A</v>
      </c>
      <c r="G39" s="17" t="e">
        <f>IF(F25&gt;=0.75,F25,NA())</f>
        <v>#N/A</v>
      </c>
    </row>
    <row r="40" spans="1:7" x14ac:dyDescent="0.2">
      <c r="D40" s="17" t="s">
        <v>19</v>
      </c>
      <c r="E40" s="17">
        <f>IF(F26&lt;0.5,F26,NA())</f>
        <v>0.33333333333333331</v>
      </c>
      <c r="F40" s="17" t="e">
        <f>IF(AND(F26&gt;0.5,F26&lt;0.75),F26,NA())</f>
        <v>#N/A</v>
      </c>
      <c r="G40" s="17" t="e">
        <f>IF(F26&gt;=0.75,F26,NA())</f>
        <v>#N/A</v>
      </c>
    </row>
    <row r="41" spans="1:7" x14ac:dyDescent="0.2">
      <c r="D41" s="18" t="s">
        <v>20</v>
      </c>
      <c r="E41" s="17" t="e">
        <f>IF(F27&lt;0.5,F27,NA())</f>
        <v>#N/A</v>
      </c>
      <c r="F41" s="17">
        <f>IF(AND(F27&gt;0.5,F27&lt;0.75),F27,NA())</f>
        <v>0.625</v>
      </c>
      <c r="G41" s="17" t="e">
        <f>IF(F27&gt;=0.75,F27,NA())</f>
        <v>#N/A</v>
      </c>
    </row>
    <row r="42" spans="1:7" x14ac:dyDescent="0.2">
      <c r="D42" s="17" t="s">
        <v>21</v>
      </c>
      <c r="E42" s="17" t="e">
        <f>IF(F28&lt;0.5,F28,NA())</f>
        <v>#N/A</v>
      </c>
      <c r="F42" s="17">
        <f>IF(AND(F28&gt;0.5,F28&lt;0.75),F28,NA())</f>
        <v>0.66666666666666663</v>
      </c>
      <c r="G42" s="17" t="e">
        <f>IF(F28&gt;=0.75,F28,NA())</f>
        <v>#N/A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55</v>
      </c>
    </row>
    <row r="52" spans="1:1" x14ac:dyDescent="0.2">
      <c r="A52" t="s">
        <v>66</v>
      </c>
    </row>
    <row r="53" spans="1:1" x14ac:dyDescent="0.2">
      <c r="A53" t="s">
        <v>67</v>
      </c>
    </row>
    <row r="54" spans="1:1" x14ac:dyDescent="0.2">
      <c r="A54" t="s">
        <v>68</v>
      </c>
    </row>
    <row r="55" spans="1:1" x14ac:dyDescent="0.2">
      <c r="A55" t="s">
        <v>69</v>
      </c>
    </row>
  </sheetData>
  <sheetProtection sheet="1" objects="1" scenarios="1"/>
  <mergeCells count="2">
    <mergeCell ref="A33:B33"/>
    <mergeCell ref="A17:I18"/>
  </mergeCells>
  <conditionalFormatting sqref="F19:G19 F1:G16 G20:G28 F29:G1048576">
    <cfRule type="iconSet" priority="6">
      <iconSet>
        <cfvo type="percent" val="0"/>
        <cfvo type="percent" val="40"/>
        <cfvo type="percent" val="70" gte="0"/>
      </iconSet>
    </cfRule>
  </conditionalFormatting>
  <conditionalFormatting sqref="G20:G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BBC-2929-5646-AB15-B9577DC9076B}">
  <dimension ref="B1:H12"/>
  <sheetViews>
    <sheetView showGridLines="0" tabSelected="1" zoomScale="75" workbookViewId="0">
      <selection activeCell="C7" sqref="C7"/>
    </sheetView>
  </sheetViews>
  <sheetFormatPr baseColWidth="10" defaultRowHeight="16" x14ac:dyDescent="0.2"/>
  <cols>
    <col min="2" max="2" width="28.6640625" customWidth="1"/>
    <col min="3" max="3" width="23.5" customWidth="1"/>
    <col min="4" max="4" width="26.33203125" customWidth="1"/>
    <col min="5" max="5" width="19.83203125" customWidth="1"/>
    <col min="6" max="6" width="23.6640625" customWidth="1"/>
    <col min="7" max="7" width="27.83203125" customWidth="1"/>
    <col min="8" max="8" width="28.83203125" customWidth="1"/>
  </cols>
  <sheetData>
    <row r="1" spans="2:8" ht="16" customHeight="1" x14ac:dyDescent="0.2">
      <c r="B1" s="80" t="s">
        <v>74</v>
      </c>
      <c r="C1" s="81"/>
      <c r="D1" s="81"/>
      <c r="E1" s="81"/>
      <c r="F1" s="81"/>
      <c r="G1" s="81"/>
      <c r="H1" s="82"/>
    </row>
    <row r="2" spans="2:8" ht="24" customHeight="1" thickBot="1" x14ac:dyDescent="0.25">
      <c r="B2" s="83"/>
      <c r="C2" s="84"/>
      <c r="D2" s="84"/>
      <c r="E2" s="84"/>
      <c r="F2" s="84"/>
      <c r="G2" s="84"/>
      <c r="H2" s="85"/>
    </row>
    <row r="5" spans="2:8" s="1" customFormat="1" x14ac:dyDescent="0.2">
      <c r="B5" s="4" t="s">
        <v>34</v>
      </c>
      <c r="C5" s="3" t="s">
        <v>35</v>
      </c>
      <c r="D5" s="4" t="s">
        <v>36</v>
      </c>
      <c r="E5" s="3" t="s">
        <v>37</v>
      </c>
      <c r="F5" s="4" t="s">
        <v>38</v>
      </c>
      <c r="G5" s="23" t="s">
        <v>50</v>
      </c>
      <c r="H5" s="4" t="s">
        <v>57</v>
      </c>
    </row>
    <row r="6" spans="2:8" s="2" customFormat="1" ht="34" x14ac:dyDescent="0.4">
      <c r="B6" s="5">
        <f>'INPUTS '!B3</f>
        <v>60</v>
      </c>
      <c r="C6" s="6">
        <f>'INPUTS '!B15</f>
        <v>720000</v>
      </c>
      <c r="D6" s="7">
        <f>TIME_ENGINE!B2</f>
        <v>3461.5384615384614</v>
      </c>
      <c r="E6" s="8">
        <f>TIME_ENGINE!B4</f>
        <v>0.79166666666666663</v>
      </c>
      <c r="F6" s="5">
        <f>TIME_ENGINE!B7</f>
        <v>3</v>
      </c>
      <c r="G6" s="24">
        <f>D6/TIME_ENGINE!B37</f>
        <v>0.57692307692307687</v>
      </c>
      <c r="H6" s="25">
        <f>TIME_ENGINE!B8</f>
        <v>0.57692307692307687</v>
      </c>
    </row>
    <row r="8" spans="2:8" ht="19" x14ac:dyDescent="0.25">
      <c r="B8" s="32" t="s">
        <v>60</v>
      </c>
      <c r="C8" s="33" t="s">
        <v>61</v>
      </c>
      <c r="D8" s="3" t="s">
        <v>72</v>
      </c>
      <c r="E8" s="4" t="s">
        <v>71</v>
      </c>
      <c r="F8" s="3" t="s">
        <v>103</v>
      </c>
    </row>
    <row r="9" spans="2:8" ht="35" customHeight="1" x14ac:dyDescent="0.4">
      <c r="B9" s="28">
        <f>TIME_ENGINE!B9</f>
        <v>540000</v>
      </c>
      <c r="C9" s="27">
        <f>B9/TIME_ENGINE!B36</f>
        <v>2596.1538461538462</v>
      </c>
      <c r="D9" s="29">
        <f>TIME_ENGINE!B10</f>
        <v>15</v>
      </c>
      <c r="E9" s="25">
        <f>TIME_ENGINE!B11</f>
        <v>0.75</v>
      </c>
      <c r="F9" s="31">
        <f>TIME_ENGINE!B13</f>
        <v>0.76923076923076927</v>
      </c>
      <c r="G9" s="30" t="s">
        <v>73</v>
      </c>
      <c r="H9" s="9" t="str">
        <f>IF(SCENARIO_LAB!F13&lt;0.7,"Comfortable", IF(SCENARIO_LAB!F13&lt;0.82, "Healthy", IF(SCENARIO_LAB!F13&lt;0.9, "Rising Pressure", IF(SCENARIO_LAB!F13&lt;0.95, "Hire Soon", "Capacity Risk"))))</f>
        <v>Healthy</v>
      </c>
    </row>
    <row r="11" spans="2:8" ht="19" x14ac:dyDescent="0.25">
      <c r="B11" s="38" t="s">
        <v>102</v>
      </c>
    </row>
    <row r="12" spans="2:8" ht="40" customHeight="1" x14ac:dyDescent="0.4">
      <c r="B12" s="5">
        <f>TIME_ENGINE!B15</f>
        <v>216000</v>
      </c>
      <c r="G12" s="58" t="s">
        <v>105</v>
      </c>
      <c r="H12" s="39" t="str">
        <f>IF(SCENARIO_LAB!F13&lt;0.7,"Focus on filling Capacity", IF(SCENARIO_LAB!F13&lt;0.82, "Optimize scheduling", IF(SCENARIO_LAB!F13&lt;0.9, "Test Price Adjustments", IF(SCENARIO_LAB!F13&lt;0.95, "Prepare hiring plan", "Hire immediately"))))</f>
        <v>Optimize scheduling</v>
      </c>
    </row>
  </sheetData>
  <sheetProtection sheet="1" objects="1" scenarios="1"/>
  <mergeCells count="1">
    <mergeCell ref="B1:H2"/>
  </mergeCells>
  <conditionalFormatting sqref="H9">
    <cfRule type="containsText" dxfId="9" priority="6" operator="containsText" text="Capacity Risk">
      <formula>NOT(ISERROR(SEARCH("Capacity Risk",H9)))</formula>
    </cfRule>
    <cfRule type="containsText" dxfId="8" priority="7" operator="containsText" text="Hire Soon">
      <formula>NOT(ISERROR(SEARCH("Hire Soon",H9)))</formula>
    </cfRule>
    <cfRule type="containsText" dxfId="7" priority="8" operator="containsText" text="Rising Pressure ">
      <formula>NOT(ISERROR(SEARCH("Rising Pressure ",H9)))</formula>
    </cfRule>
    <cfRule type="containsText" dxfId="6" priority="9" operator="containsText" text="Comfortable ">
      <formula>NOT(ISERROR(SEARCH("Comfortable ",H9)))</formula>
    </cfRule>
    <cfRule type="containsText" dxfId="5" priority="10" operator="containsText" text="Healthy">
      <formula>NOT(ISERROR(SEARCH("Healthy",H9)))</formula>
    </cfRule>
  </conditionalFormatting>
  <conditionalFormatting sqref="H12">
    <cfRule type="containsText" dxfId="4" priority="1" operator="containsText" text="Focus on filling Capacity">
      <formula>NOT(ISERROR(SEARCH("Focus on filling Capacity",H12)))</formula>
    </cfRule>
    <cfRule type="containsText" dxfId="3" priority="2" operator="containsText" text="Optimize scheduling">
      <formula>NOT(ISERROR(SEARCH("Optimize scheduling",H12)))</formula>
    </cfRule>
    <cfRule type="containsText" dxfId="2" priority="3" operator="containsText" text="Test Price Adjustments ">
      <formula>NOT(ISERROR(SEARCH("Test Price Adjustments ",H12)))</formula>
    </cfRule>
    <cfRule type="containsText" dxfId="1" priority="4" operator="containsText" text="Hire immediately ">
      <formula>NOT(ISERROR(SEARCH("Hire immediately ",H12)))</formula>
    </cfRule>
    <cfRule type="containsText" dxfId="0" priority="5" operator="containsText" text="Prepare hiring plan">
      <formula>NOT(ISERROR(SEARCH("Prepare hiring plan",H12)))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SCENARIO_LAB</vt:lpstr>
      <vt:lpstr>INPUTS </vt:lpstr>
      <vt:lpstr>TIME_ENGINE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Navaneethan, Vidhya</dc:creator>
  <cp:lastModifiedBy>Mohana Navaneethan, Vidhya</cp:lastModifiedBy>
  <dcterms:created xsi:type="dcterms:W3CDTF">2026-02-18T04:55:58Z</dcterms:created>
  <dcterms:modified xsi:type="dcterms:W3CDTF">2026-02-23T06:15:27Z</dcterms:modified>
</cp:coreProperties>
</file>