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hya/Desktop/gym_engine/data/"/>
    </mc:Choice>
  </mc:AlternateContent>
  <xr:revisionPtr revIDLastSave="0" documentId="13_ncr:1_{69628A02-159A-B24E-9508-CCD6C57CFF57}" xr6:coauthVersionLast="47" xr6:coauthVersionMax="47" xr10:uidLastSave="{00000000-0000-0000-0000-000000000000}"/>
  <bookViews>
    <workbookView xWindow="0" yWindow="660" windowWidth="29400" windowHeight="18460" xr2:uid="{3B6A3411-5CEC-DA4F-BCBF-FD9A781D5E22}"/>
  </bookViews>
  <sheets>
    <sheet name="CLIENT_MASTER" sheetId="1" r:id="rId1"/>
    <sheet name="SESSION_LOG" sheetId="4" r:id="rId2"/>
    <sheet name="CLIENT_STATUS" sheetId="3" r:id="rId3"/>
    <sheet name="CLIENT_PROGRESS_DASHBOARD" sheetId="5" r:id="rId4"/>
    <sheet name="CLIENT_ANALYTIC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3" l="1"/>
  <c r="F4" i="6" l="1"/>
  <c r="F3" i="6"/>
  <c r="F2" i="6" a="1"/>
  <c r="F2" i="6" s="1"/>
  <c r="C7" i="6" a="1"/>
  <c r="C7" i="6" s="1"/>
  <c r="B7" i="6" a="1"/>
  <c r="B7" i="6" s="1"/>
  <c r="A7" i="6" a="1"/>
  <c r="A7" i="6" s="1"/>
  <c r="A2" i="4"/>
  <c r="A3" i="4"/>
  <c r="A4" i="4"/>
  <c r="A5" i="4"/>
  <c r="A6" i="4"/>
  <c r="A7" i="4"/>
  <c r="B3" i="3" l="1"/>
  <c r="O3" i="3" s="1"/>
  <c r="B4" i="3"/>
  <c r="O4" i="3" s="1"/>
  <c r="B5" i="3"/>
  <c r="O5" i="3" s="1"/>
  <c r="B6" i="3"/>
  <c r="O6" i="3" s="1"/>
  <c r="B7" i="3"/>
  <c r="O7" i="3" s="1"/>
  <c r="B8" i="3"/>
  <c r="O8" i="3" s="1"/>
  <c r="B9" i="3"/>
  <c r="K9" i="3" s="1"/>
  <c r="B2" i="3"/>
  <c r="A3" i="3"/>
  <c r="A4" i="3"/>
  <c r="A5" i="3"/>
  <c r="A6" i="3"/>
  <c r="A7" i="3"/>
  <c r="A8" i="3"/>
  <c r="A9" i="3"/>
  <c r="A2" i="3"/>
  <c r="N8" i="3" l="1"/>
  <c r="P8" i="3" s="1"/>
  <c r="N6" i="3"/>
  <c r="P6" i="3" s="1"/>
  <c r="N7" i="3"/>
  <c r="P7" i="3" s="1"/>
  <c r="N4" i="3"/>
  <c r="P4" i="3" s="1"/>
  <c r="N3" i="3"/>
  <c r="P3" i="3" s="1"/>
  <c r="K2" i="3"/>
  <c r="N2" i="3"/>
  <c r="O2" i="3"/>
  <c r="N5" i="3"/>
  <c r="P5" i="3" s="1"/>
  <c r="J6" i="3"/>
  <c r="L6" i="3" s="1"/>
  <c r="K6" i="3"/>
  <c r="J5" i="3"/>
  <c r="K5" i="3"/>
  <c r="J4" i="3"/>
  <c r="K4" i="3"/>
  <c r="J8" i="3"/>
  <c r="K8" i="3"/>
  <c r="J7" i="3"/>
  <c r="K7" i="3"/>
  <c r="J3" i="3"/>
  <c r="L3" i="3" s="1"/>
  <c r="K3" i="3"/>
  <c r="H2" i="3"/>
  <c r="I2" i="3" s="1"/>
  <c r="J2" i="3"/>
  <c r="H9" i="3"/>
  <c r="I9" i="3" s="1"/>
  <c r="J9" i="3"/>
  <c r="L9" i="3" s="1"/>
  <c r="M9" i="3" s="1"/>
  <c r="F5" i="3"/>
  <c r="G5" i="3" s="1"/>
  <c r="H5" i="3"/>
  <c r="I5" i="3" s="1"/>
  <c r="F7" i="3"/>
  <c r="G7" i="3" s="1"/>
  <c r="H7" i="3"/>
  <c r="I7" i="3" s="1"/>
  <c r="F4" i="3"/>
  <c r="G4" i="3" s="1"/>
  <c r="H4" i="3"/>
  <c r="I4" i="3" s="1"/>
  <c r="F8" i="3"/>
  <c r="G8" i="3" s="1"/>
  <c r="H8" i="3"/>
  <c r="I8" i="3" s="1"/>
  <c r="F6" i="3"/>
  <c r="G6" i="3" s="1"/>
  <c r="H6" i="3"/>
  <c r="I6" i="3" s="1"/>
  <c r="F3" i="3"/>
  <c r="G3" i="3" s="1"/>
  <c r="H3" i="3"/>
  <c r="I3" i="3" s="1"/>
  <c r="C3" i="3"/>
  <c r="D3" i="3" s="1"/>
  <c r="E3" i="3" s="1"/>
  <c r="C8" i="3"/>
  <c r="D8" i="3" s="1"/>
  <c r="E8" i="3" s="1"/>
  <c r="C7" i="3"/>
  <c r="D7" i="3" s="1"/>
  <c r="E7" i="3" s="1"/>
  <c r="C9" i="3"/>
  <c r="D9" i="3" s="1"/>
  <c r="E9" i="3" s="1"/>
  <c r="F9" i="3"/>
  <c r="G9" i="3" s="1"/>
  <c r="C4" i="3"/>
  <c r="D4" i="3" s="1"/>
  <c r="E4" i="3" s="1"/>
  <c r="C2" i="3"/>
  <c r="D2" i="3" s="1"/>
  <c r="E2" i="3" s="1"/>
  <c r="F2" i="3"/>
  <c r="G2" i="3" s="1"/>
  <c r="C6" i="3"/>
  <c r="D6" i="3" s="1"/>
  <c r="E6" i="3" s="1"/>
  <c r="C5" i="3"/>
  <c r="D5" i="3" s="1"/>
  <c r="E5" i="3" s="1"/>
  <c r="M6" i="3" l="1"/>
  <c r="Q6" i="3"/>
  <c r="M3" i="3"/>
  <c r="Q3" i="3"/>
  <c r="P2" i="3"/>
  <c r="L2" i="3"/>
  <c r="L5" i="3"/>
  <c r="L4" i="3"/>
  <c r="L7" i="3"/>
  <c r="L8" i="3"/>
  <c r="T6" i="3"/>
  <c r="T4" i="3"/>
  <c r="T5" i="3"/>
  <c r="T3" i="3"/>
  <c r="M2" i="3" l="1"/>
  <c r="Q2" i="3"/>
  <c r="M7" i="3"/>
  <c r="Q7" i="3"/>
  <c r="M5" i="3"/>
  <c r="Q5" i="3"/>
  <c r="M8" i="3"/>
  <c r="Q8" i="3"/>
  <c r="M4" i="3"/>
  <c r="Q4" i="3"/>
  <c r="J8" i="5" s="1"/>
  <c r="T8" i="3"/>
  <c r="J10" i="5" l="1"/>
  <c r="J9" i="5"/>
  <c r="J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<sst xmlns="http://schemas.openxmlformats.org/spreadsheetml/2006/main" count="114" uniqueCount="83">
  <si>
    <t xml:space="preserve">Client ID </t>
  </si>
  <si>
    <t xml:space="preserve">Join Date </t>
  </si>
  <si>
    <t xml:space="preserve">Goal </t>
  </si>
  <si>
    <t xml:space="preserve">Plan Type </t>
  </si>
  <si>
    <t xml:space="preserve">Status </t>
  </si>
  <si>
    <t xml:space="preserve">Date </t>
  </si>
  <si>
    <t xml:space="preserve">Weight </t>
  </si>
  <si>
    <t xml:space="preserve">Notes </t>
  </si>
  <si>
    <t xml:space="preserve">Client Name </t>
  </si>
  <si>
    <t>Client Name</t>
  </si>
  <si>
    <t xml:space="preserve">Trainers </t>
  </si>
  <si>
    <t>Client ID</t>
  </si>
  <si>
    <t>Last Visit</t>
  </si>
  <si>
    <t>Days Since Visit</t>
  </si>
  <si>
    <t xml:space="preserve">Risk Status </t>
  </si>
  <si>
    <t xml:space="preserve">Arunan </t>
  </si>
  <si>
    <t xml:space="preserve">Suruthi </t>
  </si>
  <si>
    <t xml:space="preserve">Surya </t>
  </si>
  <si>
    <t xml:space="preserve">Adhi </t>
  </si>
  <si>
    <t xml:space="preserve">Kaushi </t>
  </si>
  <si>
    <t xml:space="preserve">Anav </t>
  </si>
  <si>
    <t>Vidhya</t>
  </si>
  <si>
    <t xml:space="preserve">Master </t>
  </si>
  <si>
    <t>PT001</t>
  </si>
  <si>
    <t>PT002</t>
  </si>
  <si>
    <t>PT003</t>
  </si>
  <si>
    <t>PT004</t>
  </si>
  <si>
    <t>PT005</t>
  </si>
  <si>
    <t>PT006</t>
  </si>
  <si>
    <t>PT007</t>
  </si>
  <si>
    <t>PT008</t>
  </si>
  <si>
    <t xml:space="preserve">Fit </t>
  </si>
  <si>
    <t xml:space="preserve">Weightlifting </t>
  </si>
  <si>
    <t xml:space="preserve">Athlete </t>
  </si>
  <si>
    <t xml:space="preserve">Bodybuilding </t>
  </si>
  <si>
    <t>Suruthi</t>
  </si>
  <si>
    <t xml:space="preserve">Summary Box </t>
  </si>
  <si>
    <t xml:space="preserve">Metric </t>
  </si>
  <si>
    <t xml:space="preserve">Value </t>
  </si>
  <si>
    <t xml:space="preserve">Active Clients </t>
  </si>
  <si>
    <t xml:space="preserve">At Risk Clients </t>
  </si>
  <si>
    <t xml:space="preserve">Likely Drop Clients </t>
  </si>
  <si>
    <t xml:space="preserve">Revenue At Risk </t>
  </si>
  <si>
    <t>Monthly PT Price</t>
  </si>
  <si>
    <t xml:space="preserve"> </t>
  </si>
  <si>
    <t>Progress Type</t>
  </si>
  <si>
    <t>Weight Loss</t>
  </si>
  <si>
    <t>Strength Gain</t>
  </si>
  <si>
    <t xml:space="preserve">Mobility Improvement </t>
  </si>
  <si>
    <t xml:space="preserve">Endurance Improvement </t>
  </si>
  <si>
    <t>General Progress</t>
  </si>
  <si>
    <t>Trainer</t>
  </si>
  <si>
    <t xml:space="preserve">Session Done </t>
  </si>
  <si>
    <t xml:space="preserve">Performance Score </t>
  </si>
  <si>
    <t xml:space="preserve">Progress Type </t>
  </si>
  <si>
    <t xml:space="preserve">Progress Score </t>
  </si>
  <si>
    <t xml:space="preserve">Engagement Score </t>
  </si>
  <si>
    <t>Engagement Status</t>
  </si>
  <si>
    <t xml:space="preserve">Progress Entries </t>
  </si>
  <si>
    <t>Progress Status</t>
  </si>
  <si>
    <t xml:space="preserve">Weight Change </t>
  </si>
  <si>
    <t>First Weight</t>
  </si>
  <si>
    <t xml:space="preserve">Progress Intelligence Status </t>
  </si>
  <si>
    <t xml:space="preserve">Performance Change </t>
  </si>
  <si>
    <t>First Performance</t>
  </si>
  <si>
    <t xml:space="preserve">Performance Improvement </t>
  </si>
  <si>
    <t xml:space="preserve">Overall Progress </t>
  </si>
  <si>
    <t xml:space="preserve">METRIC </t>
  </si>
  <si>
    <t xml:space="preserve">VALUE </t>
  </si>
  <si>
    <t>Excellent Progress</t>
  </si>
  <si>
    <t xml:space="preserve">Healthy Progresds </t>
  </si>
  <si>
    <t xml:space="preserve">No Clear Progress </t>
  </si>
  <si>
    <t xml:space="preserve">Performance Dropping </t>
  </si>
  <si>
    <t xml:space="preserve">SELECT CLIENT </t>
  </si>
  <si>
    <t>PT009</t>
  </si>
  <si>
    <t>Apple</t>
  </si>
  <si>
    <t xml:space="preserve">Strength </t>
  </si>
  <si>
    <t>Date</t>
  </si>
  <si>
    <t xml:space="preserve">Performance </t>
  </si>
  <si>
    <t xml:space="preserve">Latest Performance </t>
  </si>
  <si>
    <t xml:space="preserve">First Performance </t>
  </si>
  <si>
    <t>Improvement (%)</t>
  </si>
  <si>
    <t>Sruthi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</si>
</sst>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80-5C42-AC5C-7CBB3E2DD2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80-5C42-AC5C-7CBB3E2DD2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80-5C42-AC5C-7CBB3E2DD2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80-5C42-AC5C-7CBB3E2DD2B8}"/>
              </c:ext>
            </c:extLst>
          </c:dPt>
          <c:cat>
            <c:strRef>
              <c:f>CLIENT_STATUS!$S$3:$S$6</c:f>
              <c:strCache>
                <c:ptCount val="4"/>
                <c:pt idx="0">
                  <c:v>Active Clients </c:v>
                </c:pt>
                <c:pt idx="1">
                  <c:v>At Risk Clients </c:v>
                </c:pt>
                <c:pt idx="2">
                  <c:v>Likely Drop Clients </c:v>
                </c:pt>
                <c:pt idx="3">
                  <c:v>At Risk Clients </c:v>
                </c:pt>
              </c:strCache>
            </c:strRef>
          </c:cat>
          <c:val>
            <c:numRef>
              <c:f>CLIENT_STATUS!$T$3:$T$6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6-E347-BEAA-13617C907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STUDIO PROGRESS HEALTH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CLIENT_PROGRESS_DASHBOARD!$J$6</c:f>
              <c:strCache>
                <c:ptCount val="1"/>
                <c:pt idx="0">
                  <c:v>VALUE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E9-0D4C-BD0D-74AF0A2D3E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9E9-0D4C-BD0D-74AF0A2D3E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E9-0D4C-BD0D-74AF0A2D3E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9E9-0D4C-BD0D-74AF0A2D3ED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CLIENT_PROGRESS_DASHBOARD!$I$7:$I$10</c:f>
              <c:strCache>
                <c:ptCount val="4"/>
                <c:pt idx="0">
                  <c:v>Excellent Progress</c:v>
                </c:pt>
                <c:pt idx="1">
                  <c:v>Healthy Progresds </c:v>
                </c:pt>
                <c:pt idx="2">
                  <c:v>No Clear Progress </c:v>
                </c:pt>
                <c:pt idx="3">
                  <c:v>Performance Dropping </c:v>
                </c:pt>
              </c:strCache>
            </c:strRef>
          </c:cat>
          <c:val>
            <c:numRef>
              <c:f>CLIENT_PROGRESS_DASHBOARD!$J$7:$J$10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9-0D4C-BD0D-74AF0A2D3E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 Progress</a:t>
            </a:r>
            <a:r>
              <a:rPr lang="en-GB" baseline="0"/>
              <a:t> Trend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CLIENT_ANALYTICS!$B$6</c:f>
              <c:strCache>
                <c:ptCount val="1"/>
                <c:pt idx="0">
                  <c:v>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CLIENT_ANALYTICS!$A$7:$A$8</c:f>
              <c:numCache>
                <c:formatCode>m/d/yy</c:formatCode>
                <c:ptCount val="2"/>
                <c:pt idx="0">
                  <c:v>46076</c:v>
                </c:pt>
                <c:pt idx="1">
                  <c:v>46075</c:v>
                </c:pt>
              </c:numCache>
            </c:numRef>
          </c:cat>
          <c:val>
            <c:numRef>
              <c:f>CLIENT_ANALYTICS!$B$7:$B$8</c:f>
              <c:numCache>
                <c:formatCode>General</c:formatCode>
                <c:ptCount val="2"/>
                <c:pt idx="0">
                  <c:v>52</c:v>
                </c:pt>
                <c:pt idx="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C-6E46-A369-14992B36855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91C-6E46-A369-14992B368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513535"/>
        <c:axId val="660510399"/>
      </c:lineChart>
      <c:dateAx>
        <c:axId val="66051353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0399"/>
        <c:crosses val="autoZero"/>
        <c:auto val="1"/>
        <c:lblOffset val="100"/>
        <c:baseTimeUnit val="days"/>
      </c:dateAx>
      <c:valAx>
        <c:axId val="6605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Strength/Performance 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CLIENT_ANALYTICS!$C$6</c:f>
              <c:strCache>
                <c:ptCount val="1"/>
                <c:pt idx="0">
                  <c:v>Performance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CLIENT_ANALYTICS!$A$7:$A$8</c:f>
              <c:numCache>
                <c:formatCode>m/d/yy</c:formatCode>
                <c:ptCount val="2"/>
                <c:pt idx="0">
                  <c:v>46076</c:v>
                </c:pt>
                <c:pt idx="1">
                  <c:v>46075</c:v>
                </c:pt>
              </c:numCache>
            </c:numRef>
          </c:cat>
          <c:val>
            <c:numRef>
              <c:f>CLIENT_ANALYTICS!$C$7:$C$8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6-3F47-B65A-D7A9B0F44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772735"/>
        <c:axId val="669668159"/>
      </c:lineChart>
      <c:dateAx>
        <c:axId val="669772735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68159"/>
        <c:crosses val="autoZero"/>
        <c:auto val="1"/>
        <c:lblOffset val="100"/>
        <c:baseTimeUnit val="days"/>
      </c:dateAx>
      <c:valAx>
        <c:axId val="6696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7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574524</xdr:colOff>
      <xdr:row>10</xdr:row>
      <xdr:rowOff>152400</xdr:rowOff>
    </xdr:from>
    <xdr:to>
      <xdr:col>22</xdr:col>
      <xdr:colOff>529166</xdr:colOff>
      <xdr:row>24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34FE6-78FB-B738-DAC6-089E2840D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615950</xdr:colOff>
      <xdr:row>4</xdr:row>
      <xdr:rowOff>12700</xdr:rowOff>
    </xdr:from>
    <xdr:to>
      <xdr:col>6</xdr:col>
      <xdr:colOff>234950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E2FD6-D06B-A453-4C6D-60F11351A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336550</xdr:colOff>
      <xdr:row>9</xdr:row>
      <xdr:rowOff>114300</xdr:rowOff>
    </xdr:from>
    <xdr:to>
      <xdr:col>9</xdr:col>
      <xdr:colOff>781050</xdr:colOff>
      <xdr:row>23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FEE6C-A59A-09CE-0E0D-02B738B4E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23</xdr:row>
      <xdr:rowOff>152400</xdr:rowOff>
    </xdr:from>
    <xdr:to>
      <xdr:col>9</xdr:col>
      <xdr:colOff>806450</xdr:colOff>
      <xdr:row>37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75B7AB-9F41-D172-DA2A-D71D1C61D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dhya/Desktop/gym_engine/data/studio_decision_engine_v1.xlsx" TargetMode="External"/><Relationship Id="rId1" Type="http://schemas.openxmlformats.org/officeDocument/2006/relationships/externalLinkPath" Target="studio_decision_engine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ENARIO_LAB"/>
      <sheetName val="INPUTS "/>
      <sheetName val="TIME_ENGINE"/>
      <sheetName val="DASHBOARD"/>
    </sheetNames>
    <sheetDataSet>
      <sheetData sheetId="0"/>
      <sheetData sheetId="1">
        <row r="4">
          <cell r="B4">
            <v>12000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963474-F88A-694D-AA54-F790E88E7BE6}" name="Table2" displayName="Table2" ref="A1:F11" totalsRowShown="0">
  <autoFilter ref="A1:F11" xr:uid="{C6963474-F88A-694D-AA54-F790E88E7BE6}"/>
  <tableColumns count="6">
    <tableColumn id="1" xr3:uid="{F96B9AFD-C5AE-6649-82F1-B2444E1A3BCE}" name="Client ID "/>
    <tableColumn id="2" xr3:uid="{8E3AFDB5-0D22-1A45-8523-CB125883DC85}" name="Client Name "/>
    <tableColumn id="3" xr3:uid="{B374D5FF-9BA9-4B47-A19A-EB2A03FDB47F}" name="Join Date " dataDxfId="4"/>
    <tableColumn id="4" xr3:uid="{219330E4-A4B6-A44C-B296-DC040FFD9879}" name="Goal "/>
    <tableColumn id="5" xr3:uid="{9E2D2BB2-88A0-CF4F-9C4C-F9E2919FBE4F}" name="Plan Type "/>
    <tableColumn id="6" xr3:uid="{412BB82A-5149-BC42-885C-26D8DD1942E2}" name="Status 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04847-AB78-604C-A470-0CA1B37ED293}" name="Table1" displayName="Table1" ref="A1:I8" totalsRowShown="0">
  <autoFilter ref="A1:I8" xr:uid="{79404847-AB78-604C-A470-0CA1B37ED293}"/>
  <tableColumns count="9">
    <tableColumn id="1" xr3:uid="{38470D38-7D3F-294F-ACA6-DD5FBEB275D9}" name="Date " dataDxfId="3">
      <calculatedColumnFormula>TODAY()</calculatedColumnFormula>
    </tableColumn>
    <tableColumn id="2" xr3:uid="{289AAEB6-3BFB-0940-B588-6509F19D6908}" name="Client Name "/>
    <tableColumn id="3" xr3:uid="{A24A3789-DF8D-3D4D-BFDD-1A67B78454D6}" name="Trainer"/>
    <tableColumn id="4" xr3:uid="{83CA54D3-1C59-3246-B30F-BB7F723ABCFB}" name="Weight "/>
    <tableColumn id="5" xr3:uid="{8D1DAF0E-D1E3-D54C-8A11-D1DEC57C89E8}" name="Session Done "/>
    <tableColumn id="6" xr3:uid="{E6F5BFFB-641B-0A43-95BC-FC292D376D7F}" name="Performance Score "/>
    <tableColumn id="7" xr3:uid="{EE552C1C-9F6A-DB41-B26B-70BE5C0547D5}" name="Progress Type "/>
    <tableColumn id="8" xr3:uid="{BE46A1E0-7754-1043-B76C-8D998B513F00}" name="Progress Score "/>
    <tableColumn id="9" xr3:uid="{1492FAF3-E6AC-EE46-9D00-727B3EED09D0}" name="Notes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7F22-533C-1145-9D63-CF5BA2968F6D}">
  <dimension ref="A1:H11"/>
  <sheetViews>
    <sheetView tabSelected="1" zoomScale="88" workbookViewId="0">
      <selection activeCell="C15" sqref="C15"/>
    </sheetView>
  </sheetViews>
  <sheetFormatPr baseColWidth="10" defaultRowHeight="16" x14ac:dyDescent="0.2"/>
  <cols>
    <col min="1" max="1" width="19.33203125" customWidth="1"/>
    <col min="2" max="2" width="16" customWidth="1"/>
    <col min="3" max="3" width="14.83203125" customWidth="1"/>
    <col min="4" max="4" width="13.6640625" customWidth="1"/>
    <col min="5" max="5" width="15.5" customWidth="1"/>
    <col min="6" max="6" width="15" customWidth="1"/>
    <col min="8" max="8" width="17.33203125" customWidth="1"/>
  </cols>
  <sheetData>
    <row r="1" spans="1:8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H1" t="s">
        <v>10</v>
      </c>
    </row>
    <row r="2" spans="1:8" x14ac:dyDescent="0.2">
      <c r="A2" t="s">
        <v>23</v>
      </c>
      <c r="B2" t="s">
        <v>18</v>
      </c>
      <c r="C2" s="1">
        <v>45021</v>
      </c>
      <c r="D2" t="s">
        <v>34</v>
      </c>
      <c r="E2">
        <v>16</v>
      </c>
      <c r="H2" t="s">
        <v>35</v>
      </c>
    </row>
    <row r="3" spans="1:8" x14ac:dyDescent="0.2">
      <c r="A3" t="s">
        <v>24</v>
      </c>
      <c r="B3" t="s">
        <v>15</v>
      </c>
      <c r="C3" s="1">
        <v>44539</v>
      </c>
      <c r="D3" t="s">
        <v>31</v>
      </c>
      <c r="E3">
        <v>16</v>
      </c>
      <c r="H3" t="s">
        <v>17</v>
      </c>
    </row>
    <row r="4" spans="1:8" x14ac:dyDescent="0.2">
      <c r="A4" t="s">
        <v>25</v>
      </c>
      <c r="B4" t="s">
        <v>82</v>
      </c>
      <c r="C4" s="1">
        <v>44393</v>
      </c>
      <c r="D4" t="s">
        <v>32</v>
      </c>
      <c r="E4">
        <v>14</v>
      </c>
      <c r="H4" t="s">
        <v>22</v>
      </c>
    </row>
    <row r="5" spans="1:8" x14ac:dyDescent="0.2">
      <c r="A5" t="s">
        <v>26</v>
      </c>
      <c r="B5" t="s">
        <v>17</v>
      </c>
      <c r="C5" s="1">
        <v>44785</v>
      </c>
      <c r="D5" t="s">
        <v>33</v>
      </c>
      <c r="E5">
        <v>12</v>
      </c>
    </row>
    <row r="6" spans="1:8" x14ac:dyDescent="0.2">
      <c r="A6" t="s">
        <v>27</v>
      </c>
      <c r="B6" t="s">
        <v>19</v>
      </c>
      <c r="C6" s="1">
        <v>44800</v>
      </c>
      <c r="D6" t="s">
        <v>31</v>
      </c>
      <c r="E6">
        <v>14</v>
      </c>
    </row>
    <row r="7" spans="1:8" x14ac:dyDescent="0.2">
      <c r="A7" t="s">
        <v>28</v>
      </c>
      <c r="B7" t="s">
        <v>20</v>
      </c>
      <c r="C7" s="1">
        <v>44105</v>
      </c>
      <c r="D7" t="s">
        <v>34</v>
      </c>
      <c r="E7">
        <v>9</v>
      </c>
    </row>
    <row r="8" spans="1:8" x14ac:dyDescent="0.2">
      <c r="A8" t="s">
        <v>29</v>
      </c>
      <c r="B8" t="s">
        <v>21</v>
      </c>
      <c r="C8" s="1">
        <v>45001</v>
      </c>
      <c r="D8" t="s">
        <v>33</v>
      </c>
      <c r="E8">
        <v>12</v>
      </c>
    </row>
    <row r="9" spans="1:8" x14ac:dyDescent="0.2">
      <c r="A9" t="s">
        <v>30</v>
      </c>
      <c r="B9" t="s">
        <v>22</v>
      </c>
      <c r="C9" s="1">
        <v>44009</v>
      </c>
      <c r="D9" t="s">
        <v>31</v>
      </c>
      <c r="E9">
        <v>12</v>
      </c>
    </row>
    <row r="10" spans="1:8" x14ac:dyDescent="0.2">
      <c r="A10" t="s">
        <v>74</v>
      </c>
      <c r="B10" t="s">
        <v>75</v>
      </c>
      <c r="C10" s="1">
        <v>44010</v>
      </c>
      <c r="D10" t="s">
        <v>76</v>
      </c>
      <c r="E10">
        <v>12</v>
      </c>
    </row>
    <row r="11" spans="1:8" x14ac:dyDescent="0.2">
      <c r="C11" s="1"/>
    </row>
  </sheetData>
  <sheetProtection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B9B0-E7BF-3145-A76A-FDBF013E54A3}">
  <dimension ref="A1:K8"/>
  <sheetViews>
    <sheetView workbookViewId="0">
      <selection activeCell="G15" sqref="G15"/>
    </sheetView>
  </sheetViews>
  <sheetFormatPr baseColWidth="10" defaultRowHeight="16" x14ac:dyDescent="0.2"/>
  <cols>
    <col min="2" max="2" width="18.83203125" customWidth="1"/>
    <col min="3" max="3" width="19" customWidth="1"/>
    <col min="4" max="4" width="12.5" customWidth="1"/>
    <col min="5" max="5" width="16.5" customWidth="1"/>
    <col min="6" max="6" width="22" customWidth="1"/>
    <col min="7" max="7" width="23.33203125" customWidth="1"/>
    <col min="8" max="8" width="16.6640625" customWidth="1"/>
    <col min="9" max="9" width="29" customWidth="1"/>
    <col min="11" max="11" width="23.83203125" customWidth="1"/>
  </cols>
  <sheetData>
    <row r="1" spans="1:11" x14ac:dyDescent="0.2">
      <c r="A1" t="s">
        <v>5</v>
      </c>
      <c r="B1" t="s">
        <v>8</v>
      </c>
      <c r="C1" t="s">
        <v>51</v>
      </c>
      <c r="D1" t="s">
        <v>6</v>
      </c>
      <c r="E1" t="s">
        <v>52</v>
      </c>
      <c r="F1" t="s">
        <v>53</v>
      </c>
      <c r="G1" t="s">
        <v>54</v>
      </c>
      <c r="H1" t="s">
        <v>55</v>
      </c>
      <c r="I1" t="s">
        <v>7</v>
      </c>
    </row>
    <row r="2" spans="1:11" x14ac:dyDescent="0.2">
      <c r="A2" s="1">
        <f t="shared" ref="A2:A7" ca="1" si="0">TODAY()</f>
        <v>46076</v>
      </c>
      <c r="B2" t="s">
        <v>16</v>
      </c>
      <c r="C2" t="s">
        <v>17</v>
      </c>
      <c r="D2">
        <v>98</v>
      </c>
      <c r="E2">
        <v>3</v>
      </c>
      <c r="F2">
        <v>8</v>
      </c>
      <c r="G2" t="s">
        <v>46</v>
      </c>
      <c r="H2">
        <v>9</v>
      </c>
      <c r="K2" t="s">
        <v>45</v>
      </c>
    </row>
    <row r="3" spans="1:11" x14ac:dyDescent="0.2">
      <c r="A3" s="1">
        <f t="shared" ca="1" si="0"/>
        <v>46076</v>
      </c>
      <c r="B3" t="s">
        <v>17</v>
      </c>
      <c r="C3" t="s">
        <v>22</v>
      </c>
      <c r="D3">
        <v>65</v>
      </c>
      <c r="E3">
        <v>5</v>
      </c>
      <c r="F3">
        <v>9</v>
      </c>
      <c r="G3" t="s">
        <v>50</v>
      </c>
      <c r="H3">
        <v>10</v>
      </c>
      <c r="K3" t="s">
        <v>47</v>
      </c>
    </row>
    <row r="4" spans="1:11" x14ac:dyDescent="0.2">
      <c r="A4" s="1">
        <f t="shared" ca="1" si="0"/>
        <v>46076</v>
      </c>
      <c r="B4" t="s">
        <v>15</v>
      </c>
      <c r="C4" t="s">
        <v>35</v>
      </c>
      <c r="D4">
        <v>70</v>
      </c>
      <c r="E4">
        <v>8</v>
      </c>
      <c r="F4">
        <v>8</v>
      </c>
      <c r="G4" t="s">
        <v>47</v>
      </c>
      <c r="H4">
        <v>7</v>
      </c>
      <c r="K4" t="s">
        <v>46</v>
      </c>
    </row>
    <row r="5" spans="1:11" x14ac:dyDescent="0.2">
      <c r="A5" s="1">
        <f t="shared" ca="1" si="0"/>
        <v>46076</v>
      </c>
      <c r="B5" t="s">
        <v>21</v>
      </c>
      <c r="C5" t="s">
        <v>17</v>
      </c>
      <c r="D5">
        <v>52</v>
      </c>
      <c r="E5">
        <v>12</v>
      </c>
      <c r="F5">
        <v>5</v>
      </c>
      <c r="G5" t="s">
        <v>48</v>
      </c>
      <c r="H5">
        <v>5</v>
      </c>
      <c r="K5" t="s">
        <v>48</v>
      </c>
    </row>
    <row r="6" spans="1:11" x14ac:dyDescent="0.2">
      <c r="A6" s="1">
        <f t="shared" ca="1" si="0"/>
        <v>46076</v>
      </c>
      <c r="B6" t="s">
        <v>19</v>
      </c>
      <c r="C6" t="s">
        <v>35</v>
      </c>
      <c r="D6">
        <v>65</v>
      </c>
      <c r="E6">
        <v>6</v>
      </c>
      <c r="F6">
        <v>7</v>
      </c>
      <c r="G6" t="s">
        <v>46</v>
      </c>
      <c r="H6">
        <v>8</v>
      </c>
      <c r="K6" t="s">
        <v>49</v>
      </c>
    </row>
    <row r="7" spans="1:11" x14ac:dyDescent="0.2">
      <c r="A7" s="1">
        <f t="shared" ca="1" si="0"/>
        <v>46076</v>
      </c>
      <c r="B7" t="s">
        <v>20</v>
      </c>
      <c r="C7" t="s">
        <v>22</v>
      </c>
      <c r="D7">
        <v>23</v>
      </c>
      <c r="E7">
        <v>6</v>
      </c>
      <c r="F7">
        <v>10</v>
      </c>
      <c r="G7" t="s">
        <v>49</v>
      </c>
      <c r="H7">
        <v>10</v>
      </c>
      <c r="K7" t="s">
        <v>50</v>
      </c>
    </row>
    <row r="8" spans="1:11" x14ac:dyDescent="0.2">
      <c r="A8" s="1">
        <v>46075</v>
      </c>
      <c r="B8" t="s">
        <v>21</v>
      </c>
      <c r="C8" t="s">
        <v>35</v>
      </c>
      <c r="D8">
        <v>52</v>
      </c>
      <c r="E8">
        <v>13</v>
      </c>
      <c r="F8">
        <v>7</v>
      </c>
      <c r="G8" t="s">
        <v>50</v>
      </c>
    </row>
  </sheetData>
  <dataValidations count="1">
    <dataValidation type="list" allowBlank="1" showInputMessage="1" showErrorMessage="1" sqref="G2:G8" xr:uid="{531DEB92-E2DD-2D4A-AC77-90E3C1540B7C}">
      <formula1>$K$3:$K$7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721CFE-17B9-1048-B46E-370BDA51F94B}">
          <x14:formula1>
            <xm:f>CLIENT_MASTER!$B$2:$B$9</xm:f>
          </x14:formula1>
          <xm:sqref>B2:B8</xm:sqref>
        </x14:dataValidation>
        <x14:dataValidation type="list" allowBlank="1" showInputMessage="1" showErrorMessage="1" xr:uid="{3758E123-2915-8B4C-AAA8-87EECC7DA37B}">
          <x14:formula1>
            <xm:f>CLIENT_MASTER!$H$2:$H$4</xm:f>
          </x14:formula1>
          <xm:sqref>C2:C8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6E9F-3935-0346-B56D-847D04FA3D84}">
  <dimension ref="A1:T21"/>
  <sheetViews>
    <sheetView topLeftCell="P1" workbookViewId="0">
      <selection activeCell="R12" sqref="R12"/>
    </sheetView>
  </sheetViews>
  <sheetFormatPr baseColWidth="10" defaultRowHeight="16" x14ac:dyDescent="0.2"/>
  <cols>
    <col min="1" max="1" width="16.5" customWidth="1"/>
    <col min="2" max="2" width="17.5" customWidth="1"/>
    <col min="3" max="3" width="15.1640625" style="1" customWidth="1"/>
    <col min="4" max="4" width="14.5" style="2" customWidth="1"/>
    <col min="5" max="5" width="17.33203125" customWidth="1"/>
    <col min="6" max="18" width="22.5" style="3" customWidth="1"/>
    <col min="19" max="19" width="20" customWidth="1"/>
    <col min="20" max="20" width="12.6640625" customWidth="1"/>
  </cols>
  <sheetData>
    <row r="1" spans="1:20" x14ac:dyDescent="0.2">
      <c r="A1" t="s">
        <v>11</v>
      </c>
      <c r="B1" t="s">
        <v>9</v>
      </c>
      <c r="C1" s="1" t="s">
        <v>12</v>
      </c>
      <c r="D1" s="2" t="s">
        <v>13</v>
      </c>
      <c r="E1" t="s">
        <v>14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60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S1" s="5" t="s">
        <v>36</v>
      </c>
      <c r="T1" s="5"/>
    </row>
    <row r="2" spans="1:20" x14ac:dyDescent="0.2">
      <c r="A2" t="str">
        <f>CLIENT_MASTER!A2</f>
        <v>PT001</v>
      </c>
      <c r="B2" t="str">
        <f>CLIENT_MASTER!B2</f>
        <v xml:space="preserve">Adhi </v>
      </c>
      <c r="C2" s="1">
        <f>_xlfn.MAXIFS(SESSION_LOG!A:A,SESSION_LOG!B:B,B2)</f>
        <v>0</v>
      </c>
      <c r="D2" s="2">
        <f ca="1">IF(C2=" "," ",TODAY() - C2)</f>
        <v>46076</v>
      </c>
      <c r="E2" t="str">
        <f ca="1">IF(D2&lt;=5,"Active", IF(D2&lt;=10,"Monitor",IF(D2&lt;=15,"At Risk","Likely Drop")))</f>
        <v>Likely Drop</v>
      </c>
      <c r="F2" s="3" t="e">
        <f>AVERAGEIFS(SESSION_LOG!F:F, SESSION_LOG!B:B,B2)</f>
        <v>#DIV/0!</v>
      </c>
      <c r="G2" s="3" t="e">
        <f>IF(F2=" ","No Data",IF(F2&gt;=7,"Highly Engaged",IF(F2&gt;=5,"Moderate","Low Engagement")))</f>
        <v>#DIV/0!</v>
      </c>
      <c r="H2" s="3">
        <f>COUNTIFS(SESSION_LOG!B:B,B2,SESSION_LOG!G:G,"&lt;&gt;")</f>
        <v>0</v>
      </c>
      <c r="I2" s="3" t="str">
        <f>IF(H2=0, "No Visible Progress",IF(H2&lt;=2, "Improving", "Strong Progress"))</f>
        <v>No Visible Progress</v>
      </c>
      <c r="J2" s="3">
        <f>_xlfn.MAXIFS(SESSION_LOG!D:D, SESSION_LOG!B:B, B2,SESSION_LOG!A:A, _xlfn.MAXIFS(SESSION_LOG!A:A, SESSION_LOG!B:B,B2))</f>
        <v>0</v>
      </c>
      <c r="K2" s="3">
        <f>_xlfn.MAXIFS(SESSION_LOG!D:D,SESSION_LOG!B:B, B2)</f>
        <v>0</v>
      </c>
      <c r="L2" s="3">
        <f>J2-K2</f>
        <v>0</v>
      </c>
      <c r="M2" s="3" t="str">
        <f>IF(L2="","No Data",IF(ABS(L2)&lt;1,"No Progress",IF(L2&lt;0,"Weight Reduced","Weight Increased")))</f>
        <v>No Progress</v>
      </c>
      <c r="N2" s="3">
        <f>_xlfn.MAXIFS(SESSION_LOG!F:F, SESSION_LOG!B:B, B2, SESSION_LOG!A:A, _xlfn.MAXIFS(SESSION_LOG!A:A,SESSION_LOG!B:B,B2))</f>
        <v>0</v>
      </c>
      <c r="O2" s="3">
        <f>_xlfn.MINIFS(SESSION_LOG!F:F, SESSION_LOG!B:B, B2)</f>
        <v>0</v>
      </c>
      <c r="P2" s="3">
        <f>N2-O2</f>
        <v>0</v>
      </c>
      <c r="Q2" s="3" t="str">
        <f>IF(AND(L2&lt;=0,P2&gt;0), "Excellent Progress", IF(AND(L2&lt;=1,P2&gt;0), "Healthy Progress", IF(P2&lt;0,"Performance Dropping", "No Clear Progress")))</f>
        <v>No Clear Progress</v>
      </c>
      <c r="S2" t="s">
        <v>37</v>
      </c>
      <c r="T2" t="s">
        <v>38</v>
      </c>
    </row>
    <row r="3" spans="1:20" x14ac:dyDescent="0.2">
      <c r="A3" t="str">
        <f>CLIENT_MASTER!A3</f>
        <v>PT002</v>
      </c>
      <c r="B3" t="str">
        <f>CLIENT_MASTER!B3</f>
        <v xml:space="preserve">Arunan </v>
      </c>
      <c r="C3" s="1">
        <f ca="1">_xlfn.MAXIFS(SESSION_LOG!A:A,SESSION_LOG!B:B,B3)</f>
        <v>46076</v>
      </c>
      <c r="D3" s="2">
        <f t="shared" ref="D3:D9" ca="1" si="0">TODAY()-C3</f>
        <v>0</v>
      </c>
      <c r="E3" t="str">
        <f t="shared" ref="E3:E9" ca="1" si="1">IF(D3&lt;=5,"Active", IF(D3&lt;=10,"Monitor",IF(D3&lt;=15,"At Risk","Likely Drop")))</f>
        <v>Active</v>
      </c>
      <c r="F3" s="3">
        <f>AVERAGEIFS(SESSION_LOG!F:F, SESSION_LOG!B:B,B3)</f>
        <v>8</v>
      </c>
      <c r="G3" s="3" t="str">
        <f t="shared" ref="G3:G9" si="2">IF(F3=" ","No Data",IF(F3&gt;=7,"Highly Engaged",IF(F3&gt;=5,"Moderate","Low Engagement")))</f>
        <v>Highly Engaged</v>
      </c>
      <c r="H3" s="3">
        <f>COUNTIFS(SESSION_LOG!B:B,B3,SESSION_LOG!G:G,"&lt;&gt;")</f>
        <v>1</v>
      </c>
      <c r="I3" s="3" t="str">
        <f t="shared" ref="I3:I9" si="3">IF(H3=0, "No Visible Progress",IF(H3&lt;=2, "Improving", "Strong Progress"))</f>
        <v>Improving</v>
      </c>
      <c r="J3" s="3">
        <f ca="1">_xlfn.MAXIFS(SESSION_LOG!D:D, SESSION_LOG!B:B, B3,SESSION_LOG!A:A, _xlfn.MAXIFS(SESSION_LOG!A:A, SESSION_LOG!B:B,B3))</f>
        <v>70</v>
      </c>
      <c r="K3" s="3">
        <f>_xlfn.MAXIFS(SESSION_LOG!D:D,SESSION_LOG!B:B, B3)</f>
        <v>70</v>
      </c>
      <c r="L3" s="3">
        <f t="shared" ref="L3:L9" ca="1" si="4">J3-K3</f>
        <v>0</v>
      </c>
      <c r="M3" s="3" t="str">
        <f t="shared" ref="M3:M9" ca="1" si="5">IF(L3="","No Data",IF(ABS(L3)&lt;1,"No Progress",IF(L3&lt;0,"Weight Reduced","Weight Increased")))</f>
        <v>No Progress</v>
      </c>
      <c r="N3" s="3">
        <f ca="1">_xlfn.MAXIFS(SESSION_LOG!F:F, SESSION_LOG!B:B, B3, SESSION_LOG!A:A, _xlfn.MAXIFS(SESSION_LOG!A:A,SESSION_LOG!B:B,B3))</f>
        <v>8</v>
      </c>
      <c r="O3" s="3">
        <f>_xlfn.MINIFS(SESSION_LOG!F:F, SESSION_LOG!B:B, B3)</f>
        <v>8</v>
      </c>
      <c r="P3" s="3">
        <f t="shared" ref="P3:P8" ca="1" si="6">N3-O3</f>
        <v>0</v>
      </c>
      <c r="Q3" s="3" t="str">
        <f t="shared" ref="Q3:Q8" ca="1" si="7">IF(AND(L3&lt;=0,P3&gt;0), "Excellent Progress", IF(AND(L3&lt;=1,P3&gt;0), "Healthy Progress", IF(P3&lt;0,"Performance Dropping", "No Clear Progress")))</f>
        <v>No Clear Progress</v>
      </c>
      <c r="S3" t="s">
        <v>39</v>
      </c>
      <c r="T3">
        <f ca="1">COUNTIF(E2:E9,"Active")</f>
        <v>5</v>
      </c>
    </row>
    <row r="4" spans="1:20" x14ac:dyDescent="0.2">
      <c r="A4" t="str">
        <f>CLIENT_MASTER!A4</f>
        <v>PT003</v>
      </c>
      <c r="B4" t="str">
        <f>CLIENT_MASTER!B4</f>
        <v>Sruthi</v>
      </c>
      <c r="C4" s="1">
        <f>_xlfn.MAXIFS(SESSION_LOG!A:A,SESSION_LOG!B:B,B4)</f>
        <v>0</v>
      </c>
      <c r="D4" s="2">
        <f t="shared" ca="1" si="0"/>
        <v>46076</v>
      </c>
      <c r="E4" t="str">
        <f t="shared" ca="1" si="1"/>
        <v>Likely Drop</v>
      </c>
      <c r="F4" s="3" t="e">
        <f>AVERAGEIFS(SESSION_LOG!F:F, SESSION_LOG!B:B,B4)</f>
        <v>#DIV/0!</v>
      </c>
      <c r="G4" s="3" t="e">
        <f t="shared" si="2"/>
        <v>#DIV/0!</v>
      </c>
      <c r="H4" s="3">
        <f>COUNTIFS(SESSION_LOG!B:B,B4,SESSION_LOG!G:G,"&lt;&gt;")</f>
        <v>0</v>
      </c>
      <c r="I4" s="3" t="str">
        <f t="shared" si="3"/>
        <v>No Visible Progress</v>
      </c>
      <c r="J4" s="3">
        <f>_xlfn.MAXIFS(SESSION_LOG!D:D, SESSION_LOG!B:B, B4,SESSION_LOG!A:A, _xlfn.MAXIFS(SESSION_LOG!A:A, SESSION_LOG!B:B,B4))</f>
        <v>0</v>
      </c>
      <c r="K4" s="3">
        <f>_xlfn.MAXIFS(SESSION_LOG!D:D,SESSION_LOG!B:B, B4)</f>
        <v>0</v>
      </c>
      <c r="L4" s="3">
        <f t="shared" si="4"/>
        <v>0</v>
      </c>
      <c r="M4" s="3" t="str">
        <f t="shared" si="5"/>
        <v>No Progress</v>
      </c>
      <c r="N4" s="3">
        <f>_xlfn.MAXIFS(SESSION_LOG!F:F, SESSION_LOG!B:B, B4, SESSION_LOG!A:A, _xlfn.MAXIFS(SESSION_LOG!A:A,SESSION_LOG!B:B,B4))</f>
        <v>0</v>
      </c>
      <c r="O4" s="3">
        <f>_xlfn.MINIFS(SESSION_LOG!F:F, SESSION_LOG!B:B, B4)</f>
        <v>0</v>
      </c>
      <c r="P4" s="3">
        <f t="shared" si="6"/>
        <v>0</v>
      </c>
      <c r="Q4" s="3" t="str">
        <f t="shared" si="7"/>
        <v>No Clear Progress</v>
      </c>
      <c r="S4" t="s">
        <v>40</v>
      </c>
      <c r="T4">
        <f ca="1">COUNTIF(E3:E10,"Monitor")</f>
        <v>0</v>
      </c>
    </row>
    <row r="5" spans="1:20" x14ac:dyDescent="0.2">
      <c r="A5" t="str">
        <f>CLIENT_MASTER!A5</f>
        <v>PT004</v>
      </c>
      <c r="B5" t="str">
        <f>CLIENT_MASTER!B5</f>
        <v xml:space="preserve">Surya </v>
      </c>
      <c r="C5" s="1">
        <f ca="1">_xlfn.MAXIFS(SESSION_LOG!A:A,SESSION_LOG!B:B,B5)</f>
        <v>46076</v>
      </c>
      <c r="D5" s="2">
        <f t="shared" ca="1" si="0"/>
        <v>0</v>
      </c>
      <c r="E5" t="str">
        <f t="shared" ca="1" si="1"/>
        <v>Active</v>
      </c>
      <c r="F5" s="3">
        <f>AVERAGEIFS(SESSION_LOG!F:F, SESSION_LOG!B:B,B5)</f>
        <v>9</v>
      </c>
      <c r="G5" s="3" t="str">
        <f t="shared" si="2"/>
        <v>Highly Engaged</v>
      </c>
      <c r="H5" s="3">
        <f>COUNTIFS(SESSION_LOG!B:B,B5,SESSION_LOG!G:G,"&lt;&gt;")</f>
        <v>1</v>
      </c>
      <c r="I5" s="3" t="str">
        <f t="shared" si="3"/>
        <v>Improving</v>
      </c>
      <c r="J5" s="3">
        <f ca="1">_xlfn.MAXIFS(SESSION_LOG!D:D, SESSION_LOG!B:B, B5,SESSION_LOG!A:A, _xlfn.MAXIFS(SESSION_LOG!A:A, SESSION_LOG!B:B,B5))</f>
        <v>65</v>
      </c>
      <c r="K5" s="3">
        <f>_xlfn.MAXIFS(SESSION_LOG!D:D,SESSION_LOG!B:B, B5)</f>
        <v>65</v>
      </c>
      <c r="L5" s="3">
        <f t="shared" ca="1" si="4"/>
        <v>0</v>
      </c>
      <c r="M5" s="3" t="str">
        <f t="shared" ca="1" si="5"/>
        <v>No Progress</v>
      </c>
      <c r="N5" s="3">
        <f ca="1">_xlfn.MAXIFS(SESSION_LOG!F:F, SESSION_LOG!B:B, B5, SESSION_LOG!A:A, _xlfn.MAXIFS(SESSION_LOG!A:A,SESSION_LOG!B:B,B5))</f>
        <v>9</v>
      </c>
      <c r="O5" s="3">
        <f>_xlfn.MINIFS(SESSION_LOG!F:F, SESSION_LOG!B:B, B5)</f>
        <v>9</v>
      </c>
      <c r="P5" s="3">
        <f t="shared" ca="1" si="6"/>
        <v>0</v>
      </c>
      <c r="Q5" s="3" t="str">
        <f t="shared" ca="1" si="7"/>
        <v>No Clear Progress</v>
      </c>
      <c r="S5" t="s">
        <v>41</v>
      </c>
      <c r="T5">
        <f ca="1">COUNTIF(E4:E11,"Likely Drop")</f>
        <v>2</v>
      </c>
    </row>
    <row r="6" spans="1:20" x14ac:dyDescent="0.2">
      <c r="A6" t="str">
        <f>CLIENT_MASTER!A6</f>
        <v>PT005</v>
      </c>
      <c r="B6" t="str">
        <f>CLIENT_MASTER!B6</f>
        <v xml:space="preserve">Kaushi </v>
      </c>
      <c r="C6" s="1">
        <f ca="1">_xlfn.MAXIFS(SESSION_LOG!A:A,SESSION_LOG!B:B,B6)</f>
        <v>46076</v>
      </c>
      <c r="D6" s="2">
        <f t="shared" ca="1" si="0"/>
        <v>0</v>
      </c>
      <c r="E6" t="str">
        <f t="shared" ca="1" si="1"/>
        <v>Active</v>
      </c>
      <c r="F6" s="3">
        <f>AVERAGEIFS(SESSION_LOG!F:F, SESSION_LOG!B:B,B6)</f>
        <v>7</v>
      </c>
      <c r="G6" s="3" t="str">
        <f t="shared" si="2"/>
        <v>Highly Engaged</v>
      </c>
      <c r="H6" s="3">
        <f>COUNTIFS(SESSION_LOG!B:B,B6,SESSION_LOG!G:G,"&lt;&gt;")</f>
        <v>1</v>
      </c>
      <c r="I6" s="3" t="str">
        <f t="shared" si="3"/>
        <v>Improving</v>
      </c>
      <c r="J6" s="3">
        <f ca="1">_xlfn.MAXIFS(SESSION_LOG!D:D, SESSION_LOG!B:B, B6,SESSION_LOG!A:A, _xlfn.MAXIFS(SESSION_LOG!A:A, SESSION_LOG!B:B,B6))</f>
        <v>65</v>
      </c>
      <c r="K6" s="3">
        <f>_xlfn.MAXIFS(SESSION_LOG!D:D,SESSION_LOG!B:B, B6)</f>
        <v>65</v>
      </c>
      <c r="L6" s="3">
        <f t="shared" ca="1" si="4"/>
        <v>0</v>
      </c>
      <c r="M6" s="3" t="str">
        <f t="shared" ca="1" si="5"/>
        <v>No Progress</v>
      </c>
      <c r="N6" s="3">
        <f ca="1">_xlfn.MAXIFS(SESSION_LOG!F:F, SESSION_LOG!B:B, B6, SESSION_LOG!A:A, _xlfn.MAXIFS(SESSION_LOG!A:A,SESSION_LOG!B:B,B6))</f>
        <v>7</v>
      </c>
      <c r="O6" s="3">
        <f>_xlfn.MINIFS(SESSION_LOG!F:F, SESSION_LOG!B:B, B6)</f>
        <v>7</v>
      </c>
      <c r="P6" s="3">
        <f t="shared" ca="1" si="6"/>
        <v>0</v>
      </c>
      <c r="Q6" s="3" t="str">
        <f t="shared" ca="1" si="7"/>
        <v>No Clear Progress</v>
      </c>
      <c r="S6" t="s">
        <v>40</v>
      </c>
      <c r="T6">
        <f t="shared" ref="T6" ca="1" si="8">COUNTIF(E5:E12,"At Risk")</f>
        <v>0</v>
      </c>
    </row>
    <row r="7" spans="1:20" x14ac:dyDescent="0.2">
      <c r="A7" t="str">
        <f>CLIENT_MASTER!A7</f>
        <v>PT006</v>
      </c>
      <c r="B7" t="str">
        <f>CLIENT_MASTER!B7</f>
        <v xml:space="preserve">Anav </v>
      </c>
      <c r="C7" s="1">
        <f ca="1">_xlfn.MAXIFS(SESSION_LOG!A:A,SESSION_LOG!B:B,B7)</f>
        <v>46076</v>
      </c>
      <c r="D7" s="2">
        <f t="shared" ca="1" si="0"/>
        <v>0</v>
      </c>
      <c r="E7" t="str">
        <f t="shared" ca="1" si="1"/>
        <v>Active</v>
      </c>
      <c r="F7" s="3">
        <f>AVERAGEIFS(SESSION_LOG!F:F, SESSION_LOG!B:B,B7)</f>
        <v>10</v>
      </c>
      <c r="G7" s="3" t="str">
        <f t="shared" si="2"/>
        <v>Highly Engaged</v>
      </c>
      <c r="H7" s="3">
        <f>COUNTIFS(SESSION_LOG!B:B,B7,SESSION_LOG!G:G,"&lt;&gt;")</f>
        <v>1</v>
      </c>
      <c r="I7" s="3" t="str">
        <f t="shared" si="3"/>
        <v>Improving</v>
      </c>
      <c r="J7" s="3">
        <f ca="1">_xlfn.MAXIFS(SESSION_LOG!D:D, SESSION_LOG!B:B, B7,SESSION_LOG!A:A, _xlfn.MAXIFS(SESSION_LOG!A:A, SESSION_LOG!B:B,B7))</f>
        <v>23</v>
      </c>
      <c r="K7" s="3">
        <f>_xlfn.MAXIFS(SESSION_LOG!D:D,SESSION_LOG!B:B, B7)</f>
        <v>23</v>
      </c>
      <c r="L7" s="3">
        <f t="shared" ca="1" si="4"/>
        <v>0</v>
      </c>
      <c r="M7" s="3" t="str">
        <f t="shared" ca="1" si="5"/>
        <v>No Progress</v>
      </c>
      <c r="N7" s="3">
        <f ca="1">_xlfn.MAXIFS(SESSION_LOG!F:F, SESSION_LOG!B:B, B7, SESSION_LOG!A:A, _xlfn.MAXIFS(SESSION_LOG!A:A,SESSION_LOG!B:B,B7))</f>
        <v>10</v>
      </c>
      <c r="O7" s="3">
        <f>_xlfn.MINIFS(SESSION_LOG!F:F, SESSION_LOG!B:B, B7)</f>
        <v>10</v>
      </c>
      <c r="P7" s="3">
        <f t="shared" ca="1" si="6"/>
        <v>0</v>
      </c>
      <c r="Q7" s="3" t="str">
        <f t="shared" ca="1" si="7"/>
        <v>No Clear Progress</v>
      </c>
      <c r="S7" t="s">
        <v>43</v>
      </c>
      <c r="T7">
        <f>'[1]INPUTS '!$B$4</f>
        <v>12000</v>
      </c>
    </row>
    <row r="8" spans="1:20" x14ac:dyDescent="0.2">
      <c r="A8" t="str">
        <f>CLIENT_MASTER!A8</f>
        <v>PT007</v>
      </c>
      <c r="B8" t="str">
        <f>CLIENT_MASTER!B8</f>
        <v>Vidhya</v>
      </c>
      <c r="C8" s="1">
        <f ca="1">_xlfn.MAXIFS(SESSION_LOG!A:A,SESSION_LOG!B:B,B8)</f>
        <v>46076</v>
      </c>
      <c r="D8" s="2">
        <f t="shared" ca="1" si="0"/>
        <v>0</v>
      </c>
      <c r="E8" t="str">
        <f t="shared" ca="1" si="1"/>
        <v>Active</v>
      </c>
      <c r="F8" s="3">
        <f>AVERAGEIFS(SESSION_LOG!F:F, SESSION_LOG!B:B,B8)</f>
        <v>6</v>
      </c>
      <c r="G8" s="3" t="str">
        <f t="shared" si="2"/>
        <v>Moderate</v>
      </c>
      <c r="H8" s="3">
        <f>COUNTIFS(SESSION_LOG!B:B,B8,SESSION_LOG!G:G,"&lt;&gt;")</f>
        <v>2</v>
      </c>
      <c r="I8" s="3" t="str">
        <f t="shared" si="3"/>
        <v>Improving</v>
      </c>
      <c r="J8" s="3">
        <f ca="1">_xlfn.MAXIFS(SESSION_LOG!D:D, SESSION_LOG!B:B, B8,SESSION_LOG!A:A, _xlfn.MAXIFS(SESSION_LOG!A:A, SESSION_LOG!B:B,B8))</f>
        <v>52</v>
      </c>
      <c r="K8" s="3">
        <f>_xlfn.MAXIFS(SESSION_LOG!D:D,SESSION_LOG!B:B, B8)</f>
        <v>52</v>
      </c>
      <c r="L8" s="3">
        <f t="shared" ca="1" si="4"/>
        <v>0</v>
      </c>
      <c r="M8" s="3" t="str">
        <f t="shared" ca="1" si="5"/>
        <v>No Progress</v>
      </c>
      <c r="N8" s="3">
        <f ca="1">_xlfn.MAXIFS(SESSION_LOG!F:F, SESSION_LOG!B:B, B8, SESSION_LOG!A:A, _xlfn.MAXIFS(SESSION_LOG!A:A,SESSION_LOG!B:B,B8))</f>
        <v>5</v>
      </c>
      <c r="O8" s="3">
        <f>_xlfn.MINIFS(SESSION_LOG!F:F, SESSION_LOG!B:B, B8)</f>
        <v>5</v>
      </c>
      <c r="P8" s="3">
        <f t="shared" ca="1" si="6"/>
        <v>0</v>
      </c>
      <c r="Q8" s="3" t="str">
        <f t="shared" ca="1" si="7"/>
        <v>No Clear Progress</v>
      </c>
      <c r="S8" t="s">
        <v>42</v>
      </c>
      <c r="T8">
        <f ca="1">(T6+T5)*T7</f>
        <v>24000</v>
      </c>
    </row>
    <row r="9" spans="1:20" x14ac:dyDescent="0.2">
      <c r="A9" t="str">
        <f>CLIENT_MASTER!A9</f>
        <v>PT008</v>
      </c>
      <c r="B9" t="str">
        <f>CLIENT_MASTER!B9</f>
        <v xml:space="preserve">Master </v>
      </c>
      <c r="C9" s="1">
        <f>_xlfn.MAXIFS(SESSION_LOG!A:A,SESSION_LOG!B:B,B9)</f>
        <v>0</v>
      </c>
      <c r="D9" s="2">
        <f t="shared" ca="1" si="0"/>
        <v>46076</v>
      </c>
      <c r="E9" t="str">
        <f t="shared" ca="1" si="1"/>
        <v>Likely Drop</v>
      </c>
      <c r="F9" s="3" t="e">
        <f>AVERAGEIFS(SESSION_LOG!F:F, SESSION_LOG!B:B,B9)</f>
        <v>#DIV/0!</v>
      </c>
      <c r="G9" s="3" t="e">
        <f t="shared" si="2"/>
        <v>#DIV/0!</v>
      </c>
      <c r="H9" s="3">
        <f>COUNTIFS(SESSION_LOG!B:B,B9,SESSION_LOG!G:G,"&lt;&gt;")</f>
        <v>0</v>
      </c>
      <c r="I9" s="3" t="str">
        <f t="shared" si="3"/>
        <v>No Visible Progress</v>
      </c>
      <c r="J9" s="3">
        <f>_xlfn.MAXIFS(SESSION_LOG!D:D, SESSION_LOG!B:B, B9,SESSION_LOG!A:A, _xlfn.MAXIFS(SESSION_LOG!A:A, SESSION_LOG!B:B,B9))</f>
        <v>0</v>
      </c>
      <c r="K9" s="3">
        <f>_xlfn.MAXIFS(SESSION_LOG!D:D,SESSION_LOG!B:B, B9)</f>
        <v>0</v>
      </c>
      <c r="L9" s="3">
        <f t="shared" si="4"/>
        <v>0</v>
      </c>
      <c r="M9" s="3" t="str">
        <f t="shared" si="5"/>
        <v>No Progress</v>
      </c>
    </row>
    <row r="21" spans="4:4" x14ac:dyDescent="0.2">
      <c r="D21" s="2" t="s">
        <v>44</v>
      </c>
    </row>
  </sheetData>
  <mergeCells count="1">
    <mergeCell ref="S1:T1"/>
  </mergeCells>
  <conditionalFormatting sqref="I1:R1048576">
    <cfRule type="containsText" dxfId="2" priority="1" operator="containsText" text="No Visible Progress">
      <formula>NOT(ISERROR(SEARCH("No Visible Progress",I1)))</formula>
    </cfRule>
    <cfRule type="containsText" dxfId="1" priority="2" operator="containsText" text="Strong Progress">
      <formula>NOT(ISERROR(SEARCH("Strong Progress",I1)))</formula>
    </cfRule>
    <cfRule type="containsText" dxfId="0" priority="3" operator="containsText" text="Improving">
      <formula>NOT(ISERROR(SEARCH("Improving",I1)))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01F7-A1F0-9A43-9EC2-7624CB17274F}">
  <dimension ref="I6:J10"/>
  <sheetViews>
    <sheetView showGridLines="0" workbookViewId="0">
      <selection activeCell="F29" sqref="F29"/>
    </sheetView>
  </sheetViews>
  <sheetFormatPr baseColWidth="10" defaultRowHeight="16" x14ac:dyDescent="0.2"/>
  <cols>
    <col min="9" max="9" width="23.83203125" customWidth="1"/>
  </cols>
  <sheetData>
    <row r="6" spans="9:10" x14ac:dyDescent="0.2">
      <c r="I6" t="s">
        <v>67</v>
      </c>
      <c r="J6" t="s">
        <v>68</v>
      </c>
    </row>
    <row r="7" spans="9:10" x14ac:dyDescent="0.2">
      <c r="I7" t="s">
        <v>69</v>
      </c>
      <c r="J7">
        <f ca="1">COUNTIF(CLIENT_STATUS!Q:Q, "Healthy Progress")</f>
        <v>0</v>
      </c>
    </row>
    <row r="8" spans="9:10" x14ac:dyDescent="0.2">
      <c r="I8" t="s">
        <v>70</v>
      </c>
      <c r="J8">
        <f ca="1">COUNTIF(CLIENT_STATUS!Q:Q, "Excellent Progress")</f>
        <v>0</v>
      </c>
    </row>
    <row r="9" spans="9:10" x14ac:dyDescent="0.2">
      <c r="I9" t="s">
        <v>71</v>
      </c>
      <c r="J9">
        <f ca="1">COUNTIF(CLIENT_STATUS!Q:Q, "No Clear Progress")</f>
        <v>7</v>
      </c>
    </row>
    <row r="10" spans="9:10" x14ac:dyDescent="0.2">
      <c r="I10" t="s">
        <v>72</v>
      </c>
      <c r="J10">
        <f ca="1">COUNTIF(CLIENT_STATUS!Q:Q, "Performance Dropping")</f>
        <v>0</v>
      </c>
    </row>
  </sheetData>
  <sheetProtection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A345-DDC2-6349-ADAB-93B02607858E}">
  <dimension ref="A2:F8"/>
  <sheetViews>
    <sheetView workbookViewId="0">
      <selection activeCell="M14" sqref="M14"/>
    </sheetView>
  </sheetViews>
  <sheetFormatPr baseColWidth="10" defaultRowHeight="16" x14ac:dyDescent="0.2"/>
  <cols>
    <col min="1" max="1" width="17.33203125" style="1" customWidth="1"/>
    <col min="2" max="2" width="19" customWidth="1"/>
    <col min="3" max="3" width="13.6640625" customWidth="1"/>
    <col min="5" max="5" width="21.83203125" customWidth="1"/>
  </cols>
  <sheetData>
    <row r="2" spans="1:6" x14ac:dyDescent="0.2">
      <c r="A2" s="1" t="s">
        <v>73</v>
      </c>
      <c r="B2" t="s">
        <v>21</v>
      </c>
      <c r="E2" t="s">
        <v>79</v>
      </c>
      <c r="F2" cm="1">
        <f t="array" ref="F2">LOOKUP(2,1/(SESSION_LOG!B:B=$B$2), SESSION_LOG!F:F)</f>
        <v>7</v>
      </c>
    </row>
    <row r="3" spans="1:6" x14ac:dyDescent="0.2">
      <c r="E3" t="s">
        <v>80</v>
      </c>
      <c r="F3">
        <f>INDEX(_xlfn.ANCHORARRAY(C7),1)</f>
        <v>5</v>
      </c>
    </row>
    <row r="4" spans="1:6" x14ac:dyDescent="0.2">
      <c r="E4" t="s">
        <v>81</v>
      </c>
      <c r="F4" s="4">
        <f>(F2-F3)/F3</f>
        <v>0.4</v>
      </c>
    </row>
    <row r="6" spans="1:6" x14ac:dyDescent="0.2">
      <c r="A6" s="1" t="s">
        <v>77</v>
      </c>
      <c r="B6" t="s">
        <v>6</v>
      </c>
      <c r="C6" t="s">
        <v>78</v>
      </c>
    </row>
    <row r="7" spans="1:6" x14ac:dyDescent="0.2">
      <c r="A7" s="1" cm="1">
        <f t="array" aca="1" ref="A7:A8" ca="1">_xlfn._xlws.FILTER(SESSION_LOG!A:A, SESSION_LOG!B:B=$B$2)</f>
        <v>46076</v>
      </c>
      <c r="B7" cm="1">
        <f t="array" ref="B7:B8">_xlfn._xlws.FILTER(SESSION_LOG!D:D, SESSION_LOG!B:B = $B$2)</f>
        <v>52</v>
      </c>
      <c r="C7" cm="1">
        <f t="array" ref="C7:C8">_xlfn._xlws.FILTER(SESSION_LOG!F:F, SESSION_LOG!B:B=$B$2)</f>
        <v>5</v>
      </c>
    </row>
    <row r="8" spans="1:6" x14ac:dyDescent="0.2">
      <c r="A8" s="1">
        <f ca="1"/>
        <v>46075</v>
      </c>
      <c r="B8">
        <v>52</v>
      </c>
      <c r="C8">
        <v>7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DE0405-555C-C14B-A1FD-76E7F59DAAAB}">
          <x14:formula1>
            <xm:f>CLIENT_MASTER!$B$2:$B$1000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CLIENT_MASTER</vt:lpstr>
      <vt:lpstr>SESSION_LOG</vt:lpstr>
      <vt:lpstr>CLIENT_STATUS</vt:lpstr>
      <vt:lpstr>CLIENT_PROGRESS_DASHBOARD</vt:lpstr>
      <vt:lpstr>CLIENT_ANALYTICS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Navaneethan, Vidhya</dc:creator>
  <cp:lastModifiedBy>Mohana Navaneethan, Vidhya</cp:lastModifiedBy>
  <dcterms:created xsi:type="dcterms:W3CDTF">2026-02-19T06:20:27Z</dcterms:created>
  <dcterms:modified xsi:type="dcterms:W3CDTF">2026-02-23T10:54:24Z</dcterms:modified>
</cp:coreProperties>
</file>